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dobalance" sheetId="1" state="visible" r:id="rId1"/>
    <sheet xmlns:r="http://schemas.openxmlformats.org/officeDocument/2006/relationships" name="Læs m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&quot;-&quot;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color rgb="00595959"/>
      <sz val="10"/>
    </font>
    <font>
      <name val="Arial"/>
      <b val="1"/>
      <sz val="10"/>
    </font>
    <font>
      <name val="Arial"/>
      <color rgb="000000FF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bottom" wrapText="1"/>
    </xf>
    <xf numFmtId="0" fontId="4" fillId="2" borderId="1" applyAlignment="1" pivotButton="0" quotePrefix="0" xfId="0">
      <alignment horizontal="right" vertical="bottom" wrapText="1"/>
    </xf>
    <xf numFmtId="0" fontId="4" fillId="0" borderId="0" pivotButton="0" quotePrefix="0" xfId="0"/>
    <xf numFmtId="164" fontId="0" fillId="0" borderId="0" pivotButton="0" quotePrefix="0" xfId="0"/>
    <xf numFmtId="164" fontId="5" fillId="0" borderId="0" pivotButton="0" quotePrefix="0" xfId="0"/>
    <xf numFmtId="164" fontId="2" fillId="0" borderId="0" pivotButton="0" quotePrefix="0" xfId="0"/>
    <xf numFmtId="0" fontId="4" fillId="0" borderId="2" pivotButton="0" quotePrefix="0" xfId="0"/>
    <xf numFmtId="0" fontId="3" fillId="0" borderId="2" pivotButton="0" quotePrefix="0" xfId="0"/>
    <xf numFmtId="164" fontId="4" fillId="0" borderId="2" pivotButton="0" quotePrefix="0" xfId="0"/>
    <xf numFmtId="164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Crediwire</author>
  </authors>
  <commentList>
    <comment ref="A6" authorId="0" shapeId="0">
      <text>
        <t>Prototypen læser Kontonr, Kontonavn, Kontotype, Primo og månedskolonnerne. Sumkonti beregnes.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2" customWidth="1" min="2" max="2"/>
    <col width="11" customWidth="1" min="3" max="3"/>
    <col width="8" customWidth="1" min="4" max="4"/>
    <col width="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5" customWidth="1" min="15" max="15"/>
  </cols>
  <sheetData>
    <row r="1">
      <c r="A1" s="1" t="inlineStr">
        <is>
          <t>Saldobalance pr. måned</t>
        </is>
      </c>
    </row>
    <row r="2">
      <c r="A2" s="2" t="inlineStr">
        <is>
          <t>Nordhavn Composite A/S · CVR 38427156</t>
        </is>
      </c>
    </row>
    <row r="3">
      <c r="A3" s="3" t="inlineStr">
        <is>
          <t>Kilde: e-conomic, eksporteret 14-09-2026 · Periode: januar-august 2026 · Beløb i DKK</t>
        </is>
      </c>
    </row>
    <row r="4">
      <c r="A4" s="3" t="inlineStr">
        <is>
          <t>Fortegn som i e-conomic: debet er plus, kredit er minus. Driftskonti: månedens bevægelse. Statuskonti: saldo primo og månedens bevægelse. Blå tal er indtastede, sorte er beregnede.</t>
        </is>
      </c>
    </row>
    <row r="6" ht="28" customHeight="1">
      <c r="A6" s="4" t="inlineStr">
        <is>
          <t>Kontonr</t>
        </is>
      </c>
      <c r="B6" s="4" t="inlineStr">
        <is>
          <t>Kontonavn</t>
        </is>
      </c>
      <c r="C6" s="4" t="inlineStr">
        <is>
          <t>Kontotype</t>
        </is>
      </c>
      <c r="D6" s="5" t="inlineStr">
        <is>
          <t>Sum fra</t>
        </is>
      </c>
      <c r="E6" s="5" t="inlineStr">
        <is>
          <t>Sum til</t>
        </is>
      </c>
      <c r="F6" s="5" t="inlineStr">
        <is>
          <t>Primo 01-01-2026</t>
        </is>
      </c>
      <c r="G6" s="5" t="inlineStr">
        <is>
          <t>Jan 2026</t>
        </is>
      </c>
      <c r="H6" s="5" t="inlineStr">
        <is>
          <t>Feb 2026</t>
        </is>
      </c>
      <c r="I6" s="5" t="inlineStr">
        <is>
          <t>Mar 2026</t>
        </is>
      </c>
      <c r="J6" s="5" t="inlineStr">
        <is>
          <t>Apr 2026</t>
        </is>
      </c>
      <c r="K6" s="5" t="inlineStr">
        <is>
          <t>Maj 2026</t>
        </is>
      </c>
      <c r="L6" s="5" t="inlineStr">
        <is>
          <t>Jun 2026</t>
        </is>
      </c>
      <c r="M6" s="5" t="inlineStr">
        <is>
          <t>Jul 2026</t>
        </is>
      </c>
      <c r="N6" s="5" t="inlineStr">
        <is>
          <t>Aug 2026</t>
        </is>
      </c>
      <c r="O6" s="5" t="inlineStr">
        <is>
          <t>Saldo 31-08-2026</t>
        </is>
      </c>
    </row>
    <row r="7">
      <c r="A7" s="6" t="n">
        <v>1000</v>
      </c>
      <c r="B7" s="6" t="inlineStr">
        <is>
          <t>RESULTATOPGØRELSE</t>
        </is>
      </c>
      <c r="C7" s="3" t="inlineStr">
        <is>
          <t>Overskrift</t>
        </is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</row>
    <row r="8">
      <c r="A8" s="6" t="n">
        <v>1001</v>
      </c>
      <c r="B8" s="6" t="inlineStr">
        <is>
          <t>Omsætning</t>
        </is>
      </c>
      <c r="C8" s="3" t="inlineStr">
        <is>
          <t>Overskrift</t>
        </is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</row>
    <row r="9">
      <c r="A9" s="2" t="n">
        <v>1010</v>
      </c>
      <c r="B9" s="2" t="inlineStr">
        <is>
          <t>Salg af varer/ydelser m/moms</t>
        </is>
      </c>
      <c r="C9" s="3" t="inlineStr">
        <is>
          <t>Drift</t>
        </is>
      </c>
      <c r="F9" s="7" t="n"/>
      <c r="G9" s="8" t="n">
        <v>-928076</v>
      </c>
      <c r="H9" s="8" t="n">
        <v>-986531</v>
      </c>
      <c r="I9" s="8" t="n">
        <v>-1147793</v>
      </c>
      <c r="J9" s="8" t="n">
        <v>-1043809</v>
      </c>
      <c r="K9" s="8" t="n">
        <v>-1128923</v>
      </c>
      <c r="L9" s="8" t="n">
        <v>-1054968</v>
      </c>
      <c r="M9" s="8" t="n">
        <v>-920137</v>
      </c>
      <c r="N9" s="8" t="n">
        <v>-1214263</v>
      </c>
      <c r="O9" s="9">
        <f>SUM(F9:N9)</f>
        <v/>
      </c>
    </row>
    <row r="10">
      <c r="A10" s="2" t="n">
        <v>1020</v>
      </c>
      <c r="B10" s="2" t="inlineStr">
        <is>
          <t>Salg af varer/ydelser u/moms, EU</t>
        </is>
      </c>
      <c r="C10" s="3" t="inlineStr">
        <is>
          <t>Drift</t>
        </is>
      </c>
      <c r="F10" s="7" t="n"/>
      <c r="G10" s="8" t="n">
        <v>-1734022</v>
      </c>
      <c r="H10" s="8" t="n">
        <v>-1705291</v>
      </c>
      <c r="I10" s="8" t="n">
        <v>-2104687</v>
      </c>
      <c r="J10" s="8" t="n">
        <v>-1868051</v>
      </c>
      <c r="K10" s="8" t="n">
        <v>-1983780</v>
      </c>
      <c r="L10" s="8" t="n">
        <v>-1991369</v>
      </c>
      <c r="M10" s="8" t="n">
        <v>-1664630</v>
      </c>
      <c r="N10" s="8" t="n">
        <v>-2199370</v>
      </c>
      <c r="O10" s="9">
        <f>SUM(F10:N10)</f>
        <v/>
      </c>
    </row>
    <row r="11">
      <c r="A11" s="2" t="n">
        <v>1030</v>
      </c>
      <c r="B11" s="2" t="inlineStr">
        <is>
          <t>Salg af varer/ydelser u/moms, verden</t>
        </is>
      </c>
      <c r="C11" s="3" t="inlineStr">
        <is>
          <t>Drift</t>
        </is>
      </c>
      <c r="F11" s="7" t="n"/>
      <c r="G11" s="8" t="n">
        <v>-497329</v>
      </c>
      <c r="H11" s="8" t="n">
        <v>-531848</v>
      </c>
      <c r="I11" s="8" t="n">
        <v>-607623</v>
      </c>
      <c r="J11" s="8" t="n">
        <v>-553017</v>
      </c>
      <c r="K11" s="8" t="n">
        <v>-592164</v>
      </c>
      <c r="L11" s="8" t="n">
        <v>-580019</v>
      </c>
      <c r="M11" s="8" t="n">
        <v>-460139</v>
      </c>
      <c r="N11" s="8" t="n">
        <v>-680661</v>
      </c>
      <c r="O11" s="9">
        <f>SUM(F11:N11)</f>
        <v/>
      </c>
    </row>
    <row r="12">
      <c r="A12" s="2" t="n">
        <v>1040</v>
      </c>
      <c r="B12" s="2" t="inlineStr">
        <is>
          <t>Salg af serviceydelser m/moms</t>
        </is>
      </c>
      <c r="C12" s="3" t="inlineStr">
        <is>
          <t>Drift</t>
        </is>
      </c>
      <c r="F12" s="7" t="n"/>
      <c r="G12" s="8" t="n">
        <v>-98342</v>
      </c>
      <c r="H12" s="8" t="n">
        <v>-99937</v>
      </c>
      <c r="I12" s="8" t="n">
        <v>-118521</v>
      </c>
      <c r="J12" s="8" t="n">
        <v>-108331</v>
      </c>
      <c r="K12" s="8" t="n">
        <v>-108616</v>
      </c>
      <c r="L12" s="8" t="n">
        <v>-116953</v>
      </c>
      <c r="M12" s="8" t="n">
        <v>-88168</v>
      </c>
      <c r="N12" s="8" t="n">
        <v>-132632</v>
      </c>
      <c r="O12" s="9">
        <f>SUM(F12:N12)</f>
        <v/>
      </c>
    </row>
    <row r="13">
      <c r="A13" s="2" t="n">
        <v>1050</v>
      </c>
      <c r="B13" s="2" t="inlineStr">
        <is>
          <t>Lejeindtægter m/moms</t>
        </is>
      </c>
      <c r="C13" s="3" t="inlineStr">
        <is>
          <t>Drift</t>
        </is>
      </c>
      <c r="F13" s="7" t="n"/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9">
        <f>SUM(F13:N13)</f>
        <v/>
      </c>
    </row>
    <row r="14">
      <c r="A14" s="2" t="n">
        <v>1090</v>
      </c>
      <c r="B14" s="2" t="inlineStr">
        <is>
          <t>Regulering igangværende arbejder</t>
        </is>
      </c>
      <c r="C14" s="3" t="inlineStr">
        <is>
          <t>Drift</t>
        </is>
      </c>
      <c r="F14" s="7" t="n"/>
      <c r="G14" s="8" t="n">
        <v>-11956</v>
      </c>
      <c r="H14" s="8" t="n">
        <v>-13558</v>
      </c>
      <c r="I14" s="8" t="n">
        <v>-14486</v>
      </c>
      <c r="J14" s="8" t="n">
        <v>9592</v>
      </c>
      <c r="K14" s="8" t="n">
        <v>10073</v>
      </c>
      <c r="L14" s="8" t="n">
        <v>10335</v>
      </c>
      <c r="M14" s="8" t="n">
        <v>-8230</v>
      </c>
      <c r="N14" s="8" t="n">
        <v>-11770</v>
      </c>
      <c r="O14" s="9">
        <f>SUM(F14:N14)</f>
        <v/>
      </c>
    </row>
    <row r="15">
      <c r="A15" s="10" t="n">
        <v>1099</v>
      </c>
      <c r="B15" s="10" t="inlineStr">
        <is>
          <t>Omsætning i alt</t>
        </is>
      </c>
      <c r="C15" s="11" t="inlineStr">
        <is>
          <t>Sum</t>
        </is>
      </c>
      <c r="D15" s="11" t="n">
        <v>1001</v>
      </c>
      <c r="E15" s="11" t="n">
        <v>1098</v>
      </c>
      <c r="F15" s="12">
        <f>SUMIFS(F$7:F14,$A$7:$A14,"&gt;="&amp;$D15,$A$7:$A14,"&lt;="&amp;$E15,$C$7:$C14,"&lt;&gt;Sum")</f>
        <v/>
      </c>
      <c r="G15" s="12">
        <f>SUMIFS(G$7:G14,$A$7:$A14,"&gt;="&amp;$D15,$A$7:$A14,"&lt;="&amp;$E15,$C$7:$C14,"&lt;&gt;Sum")</f>
        <v/>
      </c>
      <c r="H15" s="12">
        <f>SUMIFS(H$7:H14,$A$7:$A14,"&gt;="&amp;$D15,$A$7:$A14,"&lt;="&amp;$E15,$C$7:$C14,"&lt;&gt;Sum")</f>
        <v/>
      </c>
      <c r="I15" s="12">
        <f>SUMIFS(I$7:I14,$A$7:$A14,"&gt;="&amp;$D15,$A$7:$A14,"&lt;="&amp;$E15,$C$7:$C14,"&lt;&gt;Sum")</f>
        <v/>
      </c>
      <c r="J15" s="12">
        <f>SUMIFS(J$7:J14,$A$7:$A14,"&gt;="&amp;$D15,$A$7:$A14,"&lt;="&amp;$E15,$C$7:$C14,"&lt;&gt;Sum")</f>
        <v/>
      </c>
      <c r="K15" s="12">
        <f>SUMIFS(K$7:K14,$A$7:$A14,"&gt;="&amp;$D15,$A$7:$A14,"&lt;="&amp;$E15,$C$7:$C14,"&lt;&gt;Sum")</f>
        <v/>
      </c>
      <c r="L15" s="12">
        <f>SUMIFS(L$7:L14,$A$7:$A14,"&gt;="&amp;$D15,$A$7:$A14,"&lt;="&amp;$E15,$C$7:$C14,"&lt;&gt;Sum")</f>
        <v/>
      </c>
      <c r="M15" s="12">
        <f>SUMIFS(M$7:M14,$A$7:$A14,"&gt;="&amp;$D15,$A$7:$A14,"&lt;="&amp;$E15,$C$7:$C14,"&lt;&gt;Sum")</f>
        <v/>
      </c>
      <c r="N15" s="12">
        <f>SUMIFS(N$7:N14,$A$7:$A14,"&gt;="&amp;$D15,$A$7:$A14,"&lt;="&amp;$E15,$C$7:$C14,"&lt;&gt;Sum")</f>
        <v/>
      </c>
      <c r="O15" s="12">
        <f>SUM(F15:N15)</f>
        <v/>
      </c>
    </row>
    <row r="16">
      <c r="A16" s="6" t="n">
        <v>1300</v>
      </c>
      <c r="B16" s="6" t="inlineStr">
        <is>
          <t>Direkte omkostninger</t>
        </is>
      </c>
      <c r="C16" s="3" t="inlineStr">
        <is>
          <t>Overskrift</t>
        </is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</row>
    <row r="17">
      <c r="A17" s="2" t="n">
        <v>1310</v>
      </c>
      <c r="B17" s="2" t="inlineStr">
        <is>
          <t>Varekøb m/moms</t>
        </is>
      </c>
      <c r="C17" s="3" t="inlineStr">
        <is>
          <t>Drift</t>
        </is>
      </c>
      <c r="F17" s="7" t="n"/>
      <c r="G17" s="8" t="n">
        <v>393847</v>
      </c>
      <c r="H17" s="8" t="n">
        <v>429845</v>
      </c>
      <c r="I17" s="8" t="n">
        <v>463308</v>
      </c>
      <c r="J17" s="8" t="n">
        <v>443287</v>
      </c>
      <c r="K17" s="8" t="n">
        <v>460131</v>
      </c>
      <c r="L17" s="8" t="n">
        <v>456182</v>
      </c>
      <c r="M17" s="8" t="n">
        <v>395099</v>
      </c>
      <c r="N17" s="8" t="n">
        <v>548701</v>
      </c>
      <c r="O17" s="9">
        <f>SUM(F17:N17)</f>
        <v/>
      </c>
    </row>
    <row r="18">
      <c r="A18" s="2" t="n">
        <v>1320</v>
      </c>
      <c r="B18" s="2" t="inlineStr">
        <is>
          <t>Varekøb u/moms, EU</t>
        </is>
      </c>
      <c r="C18" s="3" t="inlineStr">
        <is>
          <t>Drift</t>
        </is>
      </c>
      <c r="F18" s="7" t="n"/>
      <c r="G18" s="8" t="n">
        <v>835342</v>
      </c>
      <c r="H18" s="8" t="n">
        <v>892906</v>
      </c>
      <c r="I18" s="8" t="n">
        <v>1021252</v>
      </c>
      <c r="J18" s="8" t="n">
        <v>960366</v>
      </c>
      <c r="K18" s="8" t="n">
        <v>972623</v>
      </c>
      <c r="L18" s="8" t="n">
        <v>971611</v>
      </c>
      <c r="M18" s="8" t="n">
        <v>875202</v>
      </c>
      <c r="N18" s="8" t="n">
        <v>1141098</v>
      </c>
      <c r="O18" s="9">
        <f>SUM(F18:N18)</f>
        <v/>
      </c>
    </row>
    <row r="19">
      <c r="A19" s="2" t="n">
        <v>1330</v>
      </c>
      <c r="B19" s="2" t="inlineStr">
        <is>
          <t>Varekøb u/moms, import</t>
        </is>
      </c>
      <c r="C19" s="3" t="inlineStr">
        <is>
          <t>Drift</t>
        </is>
      </c>
      <c r="F19" s="7" t="n"/>
      <c r="G19" s="8" t="n">
        <v>216483</v>
      </c>
      <c r="H19" s="8" t="n">
        <v>232193</v>
      </c>
      <c r="I19" s="8" t="n">
        <v>253324</v>
      </c>
      <c r="J19" s="8" t="n">
        <v>257053</v>
      </c>
      <c r="K19" s="8" t="n">
        <v>235848</v>
      </c>
      <c r="L19" s="8" t="n">
        <v>248699</v>
      </c>
      <c r="M19" s="8" t="n">
        <v>222191</v>
      </c>
      <c r="N19" s="8" t="n">
        <v>292609</v>
      </c>
      <c r="O19" s="9">
        <f>SUM(F19:N19)</f>
        <v/>
      </c>
    </row>
    <row r="20">
      <c r="A20" s="2" t="n">
        <v>1340</v>
      </c>
      <c r="B20" s="2" t="inlineStr">
        <is>
          <t>Fremmed arbejde og underleverandører</t>
        </is>
      </c>
      <c r="C20" s="3" t="inlineStr">
        <is>
          <t>Drift</t>
        </is>
      </c>
      <c r="F20" s="7" t="n"/>
      <c r="G20" s="8" t="n">
        <v>195853</v>
      </c>
      <c r="H20" s="8" t="n">
        <v>201557</v>
      </c>
      <c r="I20" s="8" t="n">
        <v>246090</v>
      </c>
      <c r="J20" s="8" t="n">
        <v>218680</v>
      </c>
      <c r="K20" s="8" t="n">
        <v>227312</v>
      </c>
      <c r="L20" s="8" t="n">
        <v>233808</v>
      </c>
      <c r="M20" s="8" t="n">
        <v>192068</v>
      </c>
      <c r="N20" s="8" t="n">
        <v>279832</v>
      </c>
      <c r="O20" s="9">
        <f>SUM(F20:N20)</f>
        <v/>
      </c>
    </row>
    <row r="21">
      <c r="A21" s="2" t="n">
        <v>1350</v>
      </c>
      <c r="B21" s="2" t="inlineStr">
        <is>
          <t>Fragt og told</t>
        </is>
      </c>
      <c r="C21" s="3" t="inlineStr">
        <is>
          <t>Drift</t>
        </is>
      </c>
      <c r="F21" s="7" t="n"/>
      <c r="G21" s="8" t="n">
        <v>112072</v>
      </c>
      <c r="H21" s="8" t="n">
        <v>117315</v>
      </c>
      <c r="I21" s="8" t="n">
        <v>121613</v>
      </c>
      <c r="J21" s="8" t="n">
        <v>119761</v>
      </c>
      <c r="K21" s="8" t="n">
        <v>124990</v>
      </c>
      <c r="L21" s="8" t="n">
        <v>126049</v>
      </c>
      <c r="M21" s="8" t="n">
        <v>108304</v>
      </c>
      <c r="N21" s="8" t="n">
        <v>149096</v>
      </c>
      <c r="O21" s="9">
        <f>SUM(F21:N21)</f>
        <v/>
      </c>
    </row>
    <row r="22">
      <c r="A22" s="2" t="n">
        <v>1360</v>
      </c>
      <c r="B22" s="2" t="inlineStr">
        <is>
          <t>Emballage</t>
        </is>
      </c>
      <c r="C22" s="3" t="inlineStr">
        <is>
          <t>Drift</t>
        </is>
      </c>
      <c r="F22" s="7" t="n"/>
      <c r="G22" s="8" t="n">
        <v>37312</v>
      </c>
      <c r="H22" s="8" t="n">
        <v>37819</v>
      </c>
      <c r="I22" s="8" t="n">
        <v>41869</v>
      </c>
      <c r="J22" s="8" t="n">
        <v>40801</v>
      </c>
      <c r="K22" s="8" t="n">
        <v>41562</v>
      </c>
      <c r="L22" s="8" t="n">
        <v>41237</v>
      </c>
      <c r="M22" s="8" t="n">
        <v>36040</v>
      </c>
      <c r="N22" s="8" t="n">
        <v>49760</v>
      </c>
      <c r="O22" s="9">
        <f>SUM(F22:N22)</f>
        <v/>
      </c>
    </row>
    <row r="23">
      <c r="A23" s="2" t="n">
        <v>1380</v>
      </c>
      <c r="B23" s="2" t="inlineStr">
        <is>
          <t>Lagerregulering</t>
        </is>
      </c>
      <c r="C23" s="3" t="inlineStr">
        <is>
          <t>Drift</t>
        </is>
      </c>
      <c r="F23" s="7" t="n"/>
      <c r="G23" s="8" t="n">
        <v>-16037</v>
      </c>
      <c r="H23" s="8" t="n">
        <v>-16412</v>
      </c>
      <c r="I23" s="8" t="n">
        <v>-17551</v>
      </c>
      <c r="J23" s="8" t="n">
        <v>-33811</v>
      </c>
      <c r="K23" s="8" t="n">
        <v>-33866</v>
      </c>
      <c r="L23" s="8" t="n">
        <v>-32323</v>
      </c>
      <c r="M23" s="8" t="n">
        <v>-99271</v>
      </c>
      <c r="N23" s="8" t="n">
        <v>-150729</v>
      </c>
      <c r="O23" s="9">
        <f>SUM(F23:N23)</f>
        <v/>
      </c>
    </row>
    <row r="24">
      <c r="A24" s="10" t="n">
        <v>1399</v>
      </c>
      <c r="B24" s="10" t="inlineStr">
        <is>
          <t>Direkte omkostninger i alt</t>
        </is>
      </c>
      <c r="C24" s="11" t="inlineStr">
        <is>
          <t>Sum</t>
        </is>
      </c>
      <c r="D24" s="11" t="n">
        <v>1300</v>
      </c>
      <c r="E24" s="11" t="n">
        <v>1398</v>
      </c>
      <c r="F24" s="12">
        <f>SUMIFS(F$7:F23,$A$7:$A23,"&gt;="&amp;$D24,$A$7:$A23,"&lt;="&amp;$E24,$C$7:$C23,"&lt;&gt;Sum")</f>
        <v/>
      </c>
      <c r="G24" s="12">
        <f>SUMIFS(G$7:G23,$A$7:$A23,"&gt;="&amp;$D24,$A$7:$A23,"&lt;="&amp;$E24,$C$7:$C23,"&lt;&gt;Sum")</f>
        <v/>
      </c>
      <c r="H24" s="12">
        <f>SUMIFS(H$7:H23,$A$7:$A23,"&gt;="&amp;$D24,$A$7:$A23,"&lt;="&amp;$E24,$C$7:$C23,"&lt;&gt;Sum")</f>
        <v/>
      </c>
      <c r="I24" s="12">
        <f>SUMIFS(I$7:I23,$A$7:$A23,"&gt;="&amp;$D24,$A$7:$A23,"&lt;="&amp;$E24,$C$7:$C23,"&lt;&gt;Sum")</f>
        <v/>
      </c>
      <c r="J24" s="12">
        <f>SUMIFS(J$7:J23,$A$7:$A23,"&gt;="&amp;$D24,$A$7:$A23,"&lt;="&amp;$E24,$C$7:$C23,"&lt;&gt;Sum")</f>
        <v/>
      </c>
      <c r="K24" s="12">
        <f>SUMIFS(K$7:K23,$A$7:$A23,"&gt;="&amp;$D24,$A$7:$A23,"&lt;="&amp;$E24,$C$7:$C23,"&lt;&gt;Sum")</f>
        <v/>
      </c>
      <c r="L24" s="12">
        <f>SUMIFS(L$7:L23,$A$7:$A23,"&gt;="&amp;$D24,$A$7:$A23,"&lt;="&amp;$E24,$C$7:$C23,"&lt;&gt;Sum")</f>
        <v/>
      </c>
      <c r="M24" s="12">
        <f>SUMIFS(M$7:M23,$A$7:$A23,"&gt;="&amp;$D24,$A$7:$A23,"&lt;="&amp;$E24,$C$7:$C23,"&lt;&gt;Sum")</f>
        <v/>
      </c>
      <c r="N24" s="12">
        <f>SUMIFS(N$7:N23,$A$7:$A23,"&gt;="&amp;$D24,$A$7:$A23,"&lt;="&amp;$E24,$C$7:$C23,"&lt;&gt;Sum")</f>
        <v/>
      </c>
      <c r="O24" s="12">
        <f>SUM(F24:N24)</f>
        <v/>
      </c>
    </row>
    <row r="25">
      <c r="A25" s="10" t="n">
        <v>1400</v>
      </c>
      <c r="B25" s="10" t="inlineStr">
        <is>
          <t>DÆKNINGSBIDRAG</t>
        </is>
      </c>
      <c r="C25" s="11" t="inlineStr">
        <is>
          <t>Sum</t>
        </is>
      </c>
      <c r="D25" s="11" t="n">
        <v>1000</v>
      </c>
      <c r="E25" s="11" t="n">
        <v>1399</v>
      </c>
      <c r="F25" s="12">
        <f>SUMIFS(F$7:F24,$A$7:$A24,"&gt;="&amp;$D25,$A$7:$A24,"&lt;="&amp;$E25,$C$7:$C24,"&lt;&gt;Sum")</f>
        <v/>
      </c>
      <c r="G25" s="12">
        <f>SUMIFS(G$7:G24,$A$7:$A24,"&gt;="&amp;$D25,$A$7:$A24,"&lt;="&amp;$E25,$C$7:$C24,"&lt;&gt;Sum")</f>
        <v/>
      </c>
      <c r="H25" s="12">
        <f>SUMIFS(H$7:H24,$A$7:$A24,"&gt;="&amp;$D25,$A$7:$A24,"&lt;="&amp;$E25,$C$7:$C24,"&lt;&gt;Sum")</f>
        <v/>
      </c>
      <c r="I25" s="12">
        <f>SUMIFS(I$7:I24,$A$7:$A24,"&gt;="&amp;$D25,$A$7:$A24,"&lt;="&amp;$E25,$C$7:$C24,"&lt;&gt;Sum")</f>
        <v/>
      </c>
      <c r="J25" s="12">
        <f>SUMIFS(J$7:J24,$A$7:$A24,"&gt;="&amp;$D25,$A$7:$A24,"&lt;="&amp;$E25,$C$7:$C24,"&lt;&gt;Sum")</f>
        <v/>
      </c>
      <c r="K25" s="12">
        <f>SUMIFS(K$7:K24,$A$7:$A24,"&gt;="&amp;$D25,$A$7:$A24,"&lt;="&amp;$E25,$C$7:$C24,"&lt;&gt;Sum")</f>
        <v/>
      </c>
      <c r="L25" s="12">
        <f>SUMIFS(L$7:L24,$A$7:$A24,"&gt;="&amp;$D25,$A$7:$A24,"&lt;="&amp;$E25,$C$7:$C24,"&lt;&gt;Sum")</f>
        <v/>
      </c>
      <c r="M25" s="12">
        <f>SUMIFS(M$7:M24,$A$7:$A24,"&gt;="&amp;$D25,$A$7:$A24,"&lt;="&amp;$E25,$C$7:$C24,"&lt;&gt;Sum")</f>
        <v/>
      </c>
      <c r="N25" s="12">
        <f>SUMIFS(N$7:N24,$A$7:$A24,"&gt;="&amp;$D25,$A$7:$A24,"&lt;="&amp;$E25,$C$7:$C24,"&lt;&gt;Sum")</f>
        <v/>
      </c>
      <c r="O25" s="12">
        <f>SUM(F25:N25)</f>
        <v/>
      </c>
    </row>
    <row r="26">
      <c r="A26" s="6" t="n">
        <v>2200</v>
      </c>
      <c r="B26" s="6" t="inlineStr">
        <is>
          <t>Personaleomkostninger</t>
        </is>
      </c>
      <c r="C26" s="3" t="inlineStr">
        <is>
          <t>Overskrift</t>
        </is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</row>
    <row r="27">
      <c r="A27" s="2" t="n">
        <v>2210</v>
      </c>
      <c r="B27" s="2" t="inlineStr">
        <is>
          <t>Lønninger</t>
        </is>
      </c>
      <c r="C27" s="3" t="inlineStr">
        <is>
          <t>Drift</t>
        </is>
      </c>
      <c r="F27" s="7" t="n"/>
      <c r="G27" s="8" t="n">
        <v>995745</v>
      </c>
      <c r="H27" s="8" t="n">
        <v>993291</v>
      </c>
      <c r="I27" s="8" t="n">
        <v>937764</v>
      </c>
      <c r="J27" s="8" t="n">
        <v>1022134</v>
      </c>
      <c r="K27" s="8" t="n">
        <v>957199</v>
      </c>
      <c r="L27" s="8" t="n">
        <v>971767</v>
      </c>
      <c r="M27" s="8" t="n">
        <v>1014001</v>
      </c>
      <c r="N27" s="8" t="n">
        <v>973999</v>
      </c>
      <c r="O27" s="9">
        <f>SUM(F27:N27)</f>
        <v/>
      </c>
    </row>
    <row r="28">
      <c r="A28" s="2" t="n">
        <v>2220</v>
      </c>
      <c r="B28" s="2" t="inlineStr">
        <is>
          <t>Feriepenge</t>
        </is>
      </c>
      <c r="C28" s="3" t="inlineStr">
        <is>
          <t>Drift</t>
        </is>
      </c>
      <c r="F28" s="7" t="n"/>
      <c r="G28" s="8" t="n">
        <v>57992</v>
      </c>
      <c r="H28" s="8" t="n">
        <v>59816</v>
      </c>
      <c r="I28" s="8" t="n">
        <v>62192</v>
      </c>
      <c r="J28" s="8" t="n">
        <v>59005</v>
      </c>
      <c r="K28" s="8" t="n">
        <v>61579</v>
      </c>
      <c r="L28" s="8" t="n">
        <v>60916</v>
      </c>
      <c r="M28" s="8" t="n">
        <v>62967</v>
      </c>
      <c r="N28" s="8" t="n">
        <v>59233</v>
      </c>
      <c r="O28" s="9">
        <f>SUM(F28:N28)</f>
        <v/>
      </c>
    </row>
    <row r="29">
      <c r="A29" s="2" t="n">
        <v>2230</v>
      </c>
      <c r="B29" s="2" t="inlineStr">
        <is>
          <t>Pension</t>
        </is>
      </c>
      <c r="C29" s="3" t="inlineStr">
        <is>
          <t>Drift</t>
        </is>
      </c>
      <c r="F29" s="7" t="n"/>
      <c r="G29" s="8" t="n">
        <v>97776</v>
      </c>
      <c r="H29" s="8" t="n">
        <v>108597</v>
      </c>
      <c r="I29" s="8" t="n">
        <v>99627</v>
      </c>
      <c r="J29" s="8" t="n">
        <v>103618</v>
      </c>
      <c r="K29" s="8" t="n">
        <v>108186</v>
      </c>
      <c r="L29" s="8" t="n">
        <v>96796</v>
      </c>
      <c r="M29" s="8" t="n">
        <v>100920</v>
      </c>
      <c r="N29" s="8" t="n">
        <v>106880</v>
      </c>
      <c r="O29" s="9">
        <f>SUM(F29:N29)</f>
        <v/>
      </c>
    </row>
    <row r="30">
      <c r="A30" s="2" t="n">
        <v>2240</v>
      </c>
      <c r="B30" s="2" t="inlineStr">
        <is>
          <t>ATP og AER</t>
        </is>
      </c>
      <c r="C30" s="3" t="inlineStr">
        <is>
          <t>Drift</t>
        </is>
      </c>
      <c r="F30" s="7" t="n"/>
      <c r="G30" s="8" t="n">
        <v>14188</v>
      </c>
      <c r="H30" s="8" t="n">
        <v>14762</v>
      </c>
      <c r="I30" s="8" t="n">
        <v>14250</v>
      </c>
      <c r="J30" s="8" t="n">
        <v>14153</v>
      </c>
      <c r="K30" s="8" t="n">
        <v>15499</v>
      </c>
      <c r="L30" s="8" t="n">
        <v>13948</v>
      </c>
      <c r="M30" s="8" t="n">
        <v>14600</v>
      </c>
      <c r="N30" s="8" t="n">
        <v>14700</v>
      </c>
      <c r="O30" s="9">
        <f>SUM(F30:N30)</f>
        <v/>
      </c>
    </row>
    <row r="31">
      <c r="A31" s="2" t="n">
        <v>2250</v>
      </c>
      <c r="B31" s="2" t="inlineStr">
        <is>
          <t>Sociale bidrag (AES, barsel.dk, FIB)</t>
        </is>
      </c>
      <c r="C31" s="3" t="inlineStr">
        <is>
          <t>Drift</t>
        </is>
      </c>
      <c r="F31" s="7" t="n"/>
      <c r="G31" s="8" t="n">
        <v>14322</v>
      </c>
      <c r="H31" s="8" t="n">
        <v>14910</v>
      </c>
      <c r="I31" s="8" t="n">
        <v>13968</v>
      </c>
      <c r="J31" s="8" t="n">
        <v>13440</v>
      </c>
      <c r="K31" s="8" t="n">
        <v>15040</v>
      </c>
      <c r="L31" s="8" t="n">
        <v>15120</v>
      </c>
      <c r="M31" s="8" t="n">
        <v>14689</v>
      </c>
      <c r="N31" s="8" t="n">
        <v>14611</v>
      </c>
      <c r="O31" s="9">
        <f>SUM(F31:N31)</f>
        <v/>
      </c>
    </row>
    <row r="32">
      <c r="A32" s="2" t="n">
        <v>2270</v>
      </c>
      <c r="B32" s="2" t="inlineStr">
        <is>
          <t>Personalegoder og kantine</t>
        </is>
      </c>
      <c r="C32" s="3" t="inlineStr">
        <is>
          <t>Drift</t>
        </is>
      </c>
      <c r="F32" s="7" t="n"/>
      <c r="G32" s="8" t="n">
        <v>21912</v>
      </c>
      <c r="H32" s="8" t="n">
        <v>21643</v>
      </c>
      <c r="I32" s="8" t="n">
        <v>21245</v>
      </c>
      <c r="J32" s="8" t="n">
        <v>21727</v>
      </c>
      <c r="K32" s="8" t="n">
        <v>22386</v>
      </c>
      <c r="L32" s="8" t="n">
        <v>21187</v>
      </c>
      <c r="M32" s="8" t="n">
        <v>23274</v>
      </c>
      <c r="N32" s="8" t="n">
        <v>20726</v>
      </c>
      <c r="O32" s="9">
        <f>SUM(F32:N32)</f>
        <v/>
      </c>
    </row>
    <row r="33">
      <c r="A33" s="2" t="n">
        <v>2280</v>
      </c>
      <c r="B33" s="2" t="inlineStr">
        <is>
          <t>Uddannelse og kurser</t>
        </is>
      </c>
      <c r="C33" s="3" t="inlineStr">
        <is>
          <t>Drift</t>
        </is>
      </c>
      <c r="F33" s="7" t="n"/>
      <c r="G33" s="8" t="n">
        <v>11980</v>
      </c>
      <c r="H33" s="8" t="n">
        <v>12504</v>
      </c>
      <c r="I33" s="8" t="n">
        <v>11516</v>
      </c>
      <c r="J33" s="8" t="n">
        <v>12280</v>
      </c>
      <c r="K33" s="8" t="n">
        <v>12367</v>
      </c>
      <c r="L33" s="8" t="n">
        <v>11653</v>
      </c>
      <c r="M33" s="8" t="n">
        <v>11447</v>
      </c>
      <c r="N33" s="8" t="n">
        <v>12953</v>
      </c>
      <c r="O33" s="9">
        <f>SUM(F33:N33)</f>
        <v/>
      </c>
    </row>
    <row r="34">
      <c r="A34" s="2" t="n">
        <v>2290</v>
      </c>
      <c r="B34" s="2" t="inlineStr">
        <is>
          <t>Lønrefusioner</t>
        </is>
      </c>
      <c r="C34" s="3" t="inlineStr">
        <is>
          <t>Drift</t>
        </is>
      </c>
      <c r="F34" s="7" t="n"/>
      <c r="G34" s="8" t="n">
        <v>-6981</v>
      </c>
      <c r="H34" s="8" t="n">
        <v>-6348</v>
      </c>
      <c r="I34" s="8" t="n">
        <v>-6671</v>
      </c>
      <c r="J34" s="8" t="n">
        <v>-3460</v>
      </c>
      <c r="K34" s="8" t="n">
        <v>-3441</v>
      </c>
      <c r="L34" s="8" t="n">
        <v>-3099</v>
      </c>
      <c r="M34" s="8" t="n">
        <v>-7458</v>
      </c>
      <c r="N34" s="8" t="n">
        <v>-7542</v>
      </c>
      <c r="O34" s="9">
        <f>SUM(F34:N34)</f>
        <v/>
      </c>
    </row>
    <row r="35">
      <c r="A35" s="10" t="n">
        <v>2299</v>
      </c>
      <c r="B35" s="10" t="inlineStr">
        <is>
          <t>Personaleomkostninger i alt</t>
        </is>
      </c>
      <c r="C35" s="11" t="inlineStr">
        <is>
          <t>Sum</t>
        </is>
      </c>
      <c r="D35" s="11" t="n">
        <v>2200</v>
      </c>
      <c r="E35" s="11" t="n">
        <v>2298</v>
      </c>
      <c r="F35" s="12">
        <f>SUMIFS(F$7:F34,$A$7:$A34,"&gt;="&amp;$D35,$A$7:$A34,"&lt;="&amp;$E35,$C$7:$C34,"&lt;&gt;Sum")</f>
        <v/>
      </c>
      <c r="G35" s="12">
        <f>SUMIFS(G$7:G34,$A$7:$A34,"&gt;="&amp;$D35,$A$7:$A34,"&lt;="&amp;$E35,$C$7:$C34,"&lt;&gt;Sum")</f>
        <v/>
      </c>
      <c r="H35" s="12">
        <f>SUMIFS(H$7:H34,$A$7:$A34,"&gt;="&amp;$D35,$A$7:$A34,"&lt;="&amp;$E35,$C$7:$C34,"&lt;&gt;Sum")</f>
        <v/>
      </c>
      <c r="I35" s="12">
        <f>SUMIFS(I$7:I34,$A$7:$A34,"&gt;="&amp;$D35,$A$7:$A34,"&lt;="&amp;$E35,$C$7:$C34,"&lt;&gt;Sum")</f>
        <v/>
      </c>
      <c r="J35" s="12">
        <f>SUMIFS(J$7:J34,$A$7:$A34,"&gt;="&amp;$D35,$A$7:$A34,"&lt;="&amp;$E35,$C$7:$C34,"&lt;&gt;Sum")</f>
        <v/>
      </c>
      <c r="K35" s="12">
        <f>SUMIFS(K$7:K34,$A$7:$A34,"&gt;="&amp;$D35,$A$7:$A34,"&lt;="&amp;$E35,$C$7:$C34,"&lt;&gt;Sum")</f>
        <v/>
      </c>
      <c r="L35" s="12">
        <f>SUMIFS(L$7:L34,$A$7:$A34,"&gt;="&amp;$D35,$A$7:$A34,"&lt;="&amp;$E35,$C$7:$C34,"&lt;&gt;Sum")</f>
        <v/>
      </c>
      <c r="M35" s="12">
        <f>SUMIFS(M$7:M34,$A$7:$A34,"&gt;="&amp;$D35,$A$7:$A34,"&lt;="&amp;$E35,$C$7:$C34,"&lt;&gt;Sum")</f>
        <v/>
      </c>
      <c r="N35" s="12">
        <f>SUMIFS(N$7:N34,$A$7:$A34,"&gt;="&amp;$D35,$A$7:$A34,"&lt;="&amp;$E35,$C$7:$C34,"&lt;&gt;Sum")</f>
        <v/>
      </c>
      <c r="O35" s="12">
        <f>SUM(F35:N35)</f>
        <v/>
      </c>
    </row>
    <row r="36">
      <c r="A36" s="6" t="n">
        <v>2700</v>
      </c>
      <c r="B36" s="6" t="inlineStr">
        <is>
          <t>Lokaleomkostninger</t>
        </is>
      </c>
      <c r="C36" s="3" t="inlineStr">
        <is>
          <t>Overskrift</t>
        </is>
      </c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</row>
    <row r="37">
      <c r="A37" s="2" t="n">
        <v>2710</v>
      </c>
      <c r="B37" s="2" t="inlineStr">
        <is>
          <t>Husleje</t>
        </is>
      </c>
      <c r="C37" s="3" t="inlineStr">
        <is>
          <t>Drift</t>
        </is>
      </c>
      <c r="F37" s="7" t="n"/>
      <c r="G37" s="8" t="n">
        <v>74189</v>
      </c>
      <c r="H37" s="8" t="n">
        <v>79800</v>
      </c>
      <c r="I37" s="8" t="n">
        <v>78611</v>
      </c>
      <c r="J37" s="8" t="n">
        <v>80097</v>
      </c>
      <c r="K37" s="8" t="n">
        <v>83499</v>
      </c>
      <c r="L37" s="8" t="n">
        <v>75804</v>
      </c>
      <c r="M37" s="8" t="n">
        <v>81600</v>
      </c>
      <c r="N37" s="8" t="n">
        <v>79100</v>
      </c>
      <c r="O37" s="9">
        <f>SUM(F37:N37)</f>
        <v/>
      </c>
    </row>
    <row r="38">
      <c r="A38" s="2" t="n">
        <v>2720</v>
      </c>
      <c r="B38" s="2" t="inlineStr">
        <is>
          <t>El, vand og varme</t>
        </is>
      </c>
      <c r="C38" s="3" t="inlineStr">
        <is>
          <t>Drift</t>
        </is>
      </c>
      <c r="F38" s="7" t="n"/>
      <c r="G38" s="8" t="n">
        <v>36684</v>
      </c>
      <c r="H38" s="8" t="n">
        <v>36697</v>
      </c>
      <c r="I38" s="8" t="n">
        <v>35419</v>
      </c>
      <c r="J38" s="8" t="n">
        <v>37512</v>
      </c>
      <c r="K38" s="8" t="n">
        <v>37995</v>
      </c>
      <c r="L38" s="8" t="n">
        <v>36493</v>
      </c>
      <c r="M38" s="8" t="n">
        <v>37445</v>
      </c>
      <c r="N38" s="8" t="n">
        <v>37755</v>
      </c>
      <c r="O38" s="9">
        <f>SUM(F38:N38)</f>
        <v/>
      </c>
    </row>
    <row r="39">
      <c r="A39" s="2" t="n">
        <v>2730</v>
      </c>
      <c r="B39" s="2" t="inlineStr">
        <is>
          <t>Rengøring og vedligeholdelse af lokaler</t>
        </is>
      </c>
      <c r="C39" s="3" t="inlineStr">
        <is>
          <t>Drift</t>
        </is>
      </c>
      <c r="F39" s="7" t="n"/>
      <c r="G39" s="8" t="n">
        <v>11144</v>
      </c>
      <c r="H39" s="8" t="n">
        <v>11308</v>
      </c>
      <c r="I39" s="8" t="n">
        <v>11548</v>
      </c>
      <c r="J39" s="8" t="n">
        <v>11958</v>
      </c>
      <c r="K39" s="8" t="n">
        <v>11868</v>
      </c>
      <c r="L39" s="8" t="n">
        <v>11174</v>
      </c>
      <c r="M39" s="8" t="n">
        <v>12244</v>
      </c>
      <c r="N39" s="8" t="n">
        <v>11256</v>
      </c>
      <c r="O39" s="9">
        <f>SUM(F39:N39)</f>
        <v/>
      </c>
    </row>
    <row r="40">
      <c r="A40" s="10" t="n">
        <v>2799</v>
      </c>
      <c r="B40" s="10" t="inlineStr">
        <is>
          <t>Lokaleomkostninger i alt</t>
        </is>
      </c>
      <c r="C40" s="11" t="inlineStr">
        <is>
          <t>Sum</t>
        </is>
      </c>
      <c r="D40" s="11" t="n">
        <v>2700</v>
      </c>
      <c r="E40" s="11" t="n">
        <v>2798</v>
      </c>
      <c r="F40" s="12">
        <f>SUMIFS(F$7:F39,$A$7:$A39,"&gt;="&amp;$D40,$A$7:$A39,"&lt;="&amp;$E40,$C$7:$C39,"&lt;&gt;Sum")</f>
        <v/>
      </c>
      <c r="G40" s="12">
        <f>SUMIFS(G$7:G39,$A$7:$A39,"&gt;="&amp;$D40,$A$7:$A39,"&lt;="&amp;$E40,$C$7:$C39,"&lt;&gt;Sum")</f>
        <v/>
      </c>
      <c r="H40" s="12">
        <f>SUMIFS(H$7:H39,$A$7:$A39,"&gt;="&amp;$D40,$A$7:$A39,"&lt;="&amp;$E40,$C$7:$C39,"&lt;&gt;Sum")</f>
        <v/>
      </c>
      <c r="I40" s="12">
        <f>SUMIFS(I$7:I39,$A$7:$A39,"&gt;="&amp;$D40,$A$7:$A39,"&lt;="&amp;$E40,$C$7:$C39,"&lt;&gt;Sum")</f>
        <v/>
      </c>
      <c r="J40" s="12">
        <f>SUMIFS(J$7:J39,$A$7:$A39,"&gt;="&amp;$D40,$A$7:$A39,"&lt;="&amp;$E40,$C$7:$C39,"&lt;&gt;Sum")</f>
        <v/>
      </c>
      <c r="K40" s="12">
        <f>SUMIFS(K$7:K39,$A$7:$A39,"&gt;="&amp;$D40,$A$7:$A39,"&lt;="&amp;$E40,$C$7:$C39,"&lt;&gt;Sum")</f>
        <v/>
      </c>
      <c r="L40" s="12">
        <f>SUMIFS(L$7:L39,$A$7:$A39,"&gt;="&amp;$D40,$A$7:$A39,"&lt;="&amp;$E40,$C$7:$C39,"&lt;&gt;Sum")</f>
        <v/>
      </c>
      <c r="M40" s="12">
        <f>SUMIFS(M$7:M39,$A$7:$A39,"&gt;="&amp;$D40,$A$7:$A39,"&lt;="&amp;$E40,$C$7:$C39,"&lt;&gt;Sum")</f>
        <v/>
      </c>
      <c r="N40" s="12">
        <f>SUMIFS(N$7:N39,$A$7:$A39,"&gt;="&amp;$D40,$A$7:$A39,"&lt;="&amp;$E40,$C$7:$C39,"&lt;&gt;Sum")</f>
        <v/>
      </c>
      <c r="O40" s="12">
        <f>SUM(F40:N40)</f>
        <v/>
      </c>
    </row>
    <row r="41">
      <c r="A41" s="6" t="n">
        <v>2800</v>
      </c>
      <c r="B41" s="6" t="inlineStr">
        <is>
          <t>Salgs- og rejseomkostninger</t>
        </is>
      </c>
      <c r="C41" s="3" t="inlineStr">
        <is>
          <t>Overskrift</t>
        </is>
      </c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</row>
    <row r="42">
      <c r="A42" s="2" t="n">
        <v>2810</v>
      </c>
      <c r="B42" s="2" t="inlineStr">
        <is>
          <t>Annoncer og reklame</t>
        </is>
      </c>
      <c r="C42" s="3" t="inlineStr">
        <is>
          <t>Drift</t>
        </is>
      </c>
      <c r="F42" s="7" t="n"/>
      <c r="G42" s="8" t="n">
        <v>4664</v>
      </c>
      <c r="H42" s="8" t="n">
        <v>4546</v>
      </c>
      <c r="I42" s="8" t="n">
        <v>4390</v>
      </c>
      <c r="J42" s="8" t="n">
        <v>4454</v>
      </c>
      <c r="K42" s="8" t="n">
        <v>4883</v>
      </c>
      <c r="L42" s="8" t="n">
        <v>4663</v>
      </c>
      <c r="M42" s="8" t="n">
        <v>4663</v>
      </c>
      <c r="N42" s="8" t="n">
        <v>4737</v>
      </c>
      <c r="O42" s="9">
        <f>SUM(F42:N42)</f>
        <v/>
      </c>
    </row>
    <row r="43">
      <c r="A43" s="2" t="n">
        <v>2820</v>
      </c>
      <c r="B43" s="2" t="inlineStr">
        <is>
          <t>Messer og udstillinger</t>
        </is>
      </c>
      <c r="C43" s="3" t="inlineStr">
        <is>
          <t>Drift</t>
        </is>
      </c>
      <c r="F43" s="7" t="n"/>
      <c r="G43" s="8" t="n">
        <v>6691</v>
      </c>
      <c r="H43" s="8" t="n">
        <v>6626</v>
      </c>
      <c r="I43" s="8" t="n">
        <v>7083</v>
      </c>
      <c r="J43" s="8" t="n">
        <v>6639</v>
      </c>
      <c r="K43" s="8" t="n">
        <v>7524</v>
      </c>
      <c r="L43" s="8" t="n">
        <v>6837</v>
      </c>
      <c r="M43" s="8" t="n">
        <v>7158</v>
      </c>
      <c r="N43" s="8" t="n">
        <v>6942</v>
      </c>
      <c r="O43" s="9">
        <f>SUM(F43:N43)</f>
        <v/>
      </c>
    </row>
    <row r="44">
      <c r="A44" s="2" t="n">
        <v>2830</v>
      </c>
      <c r="B44" s="2" t="inlineStr">
        <is>
          <t>Rejseudgifter</t>
        </is>
      </c>
      <c r="C44" s="3" t="inlineStr">
        <is>
          <t>Drift</t>
        </is>
      </c>
      <c r="F44" s="7" t="n"/>
      <c r="G44" s="8" t="n">
        <v>11150</v>
      </c>
      <c r="H44" s="8" t="n">
        <v>11492</v>
      </c>
      <c r="I44" s="8" t="n">
        <v>11358</v>
      </c>
      <c r="J44" s="8" t="n">
        <v>11077</v>
      </c>
      <c r="K44" s="8" t="n">
        <v>11400</v>
      </c>
      <c r="L44" s="8" t="n">
        <v>12523</v>
      </c>
      <c r="M44" s="8" t="n">
        <v>11872</v>
      </c>
      <c r="N44" s="8" t="n">
        <v>11628</v>
      </c>
      <c r="O44" s="9">
        <f>SUM(F44:N44)</f>
        <v/>
      </c>
    </row>
    <row r="45">
      <c r="A45" s="2" t="n">
        <v>2840</v>
      </c>
      <c r="B45" s="2" t="inlineStr">
        <is>
          <t>Restaurationsbesøg (repræsentation)</t>
        </is>
      </c>
      <c r="C45" s="3" t="inlineStr">
        <is>
          <t>Drift</t>
        </is>
      </c>
      <c r="F45" s="7" t="n"/>
      <c r="G45" s="8" t="n">
        <v>2697</v>
      </c>
      <c r="H45" s="8" t="n">
        <v>2686</v>
      </c>
      <c r="I45" s="8" t="n">
        <v>2817</v>
      </c>
      <c r="J45" s="8" t="n">
        <v>2960</v>
      </c>
      <c r="K45" s="8" t="n">
        <v>2607</v>
      </c>
      <c r="L45" s="8" t="n">
        <v>2833</v>
      </c>
      <c r="M45" s="8" t="n">
        <v>2756</v>
      </c>
      <c r="N45" s="8" t="n">
        <v>2844</v>
      </c>
      <c r="O45" s="9">
        <f>SUM(F45:N45)</f>
        <v/>
      </c>
    </row>
    <row r="46">
      <c r="A46" s="10" t="n">
        <v>2899</v>
      </c>
      <c r="B46" s="10" t="inlineStr">
        <is>
          <t>Salgs- og rejseomkostninger i alt</t>
        </is>
      </c>
      <c r="C46" s="11" t="inlineStr">
        <is>
          <t>Sum</t>
        </is>
      </c>
      <c r="D46" s="11" t="n">
        <v>2800</v>
      </c>
      <c r="E46" s="11" t="n">
        <v>2898</v>
      </c>
      <c r="F46" s="12">
        <f>SUMIFS(F$7:F45,$A$7:$A45,"&gt;="&amp;$D46,$A$7:$A45,"&lt;="&amp;$E46,$C$7:$C45,"&lt;&gt;Sum")</f>
        <v/>
      </c>
      <c r="G46" s="12">
        <f>SUMIFS(G$7:G45,$A$7:$A45,"&gt;="&amp;$D46,$A$7:$A45,"&lt;="&amp;$E46,$C$7:$C45,"&lt;&gt;Sum")</f>
        <v/>
      </c>
      <c r="H46" s="12">
        <f>SUMIFS(H$7:H45,$A$7:$A45,"&gt;="&amp;$D46,$A$7:$A45,"&lt;="&amp;$E46,$C$7:$C45,"&lt;&gt;Sum")</f>
        <v/>
      </c>
      <c r="I46" s="12">
        <f>SUMIFS(I$7:I45,$A$7:$A45,"&gt;="&amp;$D46,$A$7:$A45,"&lt;="&amp;$E46,$C$7:$C45,"&lt;&gt;Sum")</f>
        <v/>
      </c>
      <c r="J46" s="12">
        <f>SUMIFS(J$7:J45,$A$7:$A45,"&gt;="&amp;$D46,$A$7:$A45,"&lt;="&amp;$E46,$C$7:$C45,"&lt;&gt;Sum")</f>
        <v/>
      </c>
      <c r="K46" s="12">
        <f>SUMIFS(K$7:K45,$A$7:$A45,"&gt;="&amp;$D46,$A$7:$A45,"&lt;="&amp;$E46,$C$7:$C45,"&lt;&gt;Sum")</f>
        <v/>
      </c>
      <c r="L46" s="12">
        <f>SUMIFS(L$7:L45,$A$7:$A45,"&gt;="&amp;$D46,$A$7:$A45,"&lt;="&amp;$E46,$C$7:$C45,"&lt;&gt;Sum")</f>
        <v/>
      </c>
      <c r="M46" s="12">
        <f>SUMIFS(M$7:M45,$A$7:$A45,"&gt;="&amp;$D46,$A$7:$A45,"&lt;="&amp;$E46,$C$7:$C45,"&lt;&gt;Sum")</f>
        <v/>
      </c>
      <c r="N46" s="12">
        <f>SUMIFS(N$7:N45,$A$7:$A45,"&gt;="&amp;$D46,$A$7:$A45,"&lt;="&amp;$E46,$C$7:$C45,"&lt;&gt;Sum")</f>
        <v/>
      </c>
      <c r="O46" s="12">
        <f>SUM(F46:N46)</f>
        <v/>
      </c>
    </row>
    <row r="47">
      <c r="A47" s="6" t="n">
        <v>3000</v>
      </c>
      <c r="B47" s="6" t="inlineStr">
        <is>
          <t>Administrationsomkostninger</t>
        </is>
      </c>
      <c r="C47" s="3" t="inlineStr">
        <is>
          <t>Overskrift</t>
        </is>
      </c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</row>
    <row r="48">
      <c r="A48" s="2" t="n">
        <v>3010</v>
      </c>
      <c r="B48" s="2" t="inlineStr">
        <is>
          <t>Kontorartikler</t>
        </is>
      </c>
      <c r="C48" s="3" t="inlineStr">
        <is>
          <t>Drift</t>
        </is>
      </c>
      <c r="F48" s="7" t="n"/>
      <c r="G48" s="8" t="n">
        <v>2106</v>
      </c>
      <c r="H48" s="8" t="n">
        <v>2316</v>
      </c>
      <c r="I48" s="8" t="n">
        <v>2378</v>
      </c>
      <c r="J48" s="8" t="n">
        <v>2278</v>
      </c>
      <c r="K48" s="8" t="n">
        <v>2385</v>
      </c>
      <c r="L48" s="8" t="n">
        <v>2337</v>
      </c>
      <c r="M48" s="8" t="n">
        <v>2346</v>
      </c>
      <c r="N48" s="8" t="n">
        <v>2354</v>
      </c>
      <c r="O48" s="9">
        <f>SUM(F48:N48)</f>
        <v/>
      </c>
    </row>
    <row r="49">
      <c r="A49" s="2" t="n">
        <v>3020</v>
      </c>
      <c r="B49" s="2" t="inlineStr">
        <is>
          <t>IT-licenser og software</t>
        </is>
      </c>
      <c r="C49" s="3" t="inlineStr">
        <is>
          <t>Drift</t>
        </is>
      </c>
      <c r="F49" s="7" t="n"/>
      <c r="G49" s="8" t="n">
        <v>15346</v>
      </c>
      <c r="H49" s="8" t="n">
        <v>15697</v>
      </c>
      <c r="I49" s="8" t="n">
        <v>16557</v>
      </c>
      <c r="J49" s="8" t="n">
        <v>15498</v>
      </c>
      <c r="K49" s="8" t="n">
        <v>16950</v>
      </c>
      <c r="L49" s="8" t="n">
        <v>16552</v>
      </c>
      <c r="M49" s="8" t="n">
        <v>16619</v>
      </c>
      <c r="N49" s="8" t="n">
        <v>16281</v>
      </c>
      <c r="O49" s="9">
        <f>SUM(F49:N49)</f>
        <v/>
      </c>
    </row>
    <row r="50">
      <c r="A50" s="2" t="n">
        <v>3030</v>
      </c>
      <c r="B50" s="2" t="inlineStr">
        <is>
          <t>Telefon og internet</t>
        </is>
      </c>
      <c r="C50" s="3" t="inlineStr">
        <is>
          <t>Drift</t>
        </is>
      </c>
      <c r="F50" s="7" t="n"/>
      <c r="G50" s="8" t="n">
        <v>4555</v>
      </c>
      <c r="H50" s="8" t="n">
        <v>4634</v>
      </c>
      <c r="I50" s="8" t="n">
        <v>4411</v>
      </c>
      <c r="J50" s="8" t="n">
        <v>4661</v>
      </c>
      <c r="K50" s="8" t="n">
        <v>4635</v>
      </c>
      <c r="L50" s="8" t="n">
        <v>4704</v>
      </c>
      <c r="M50" s="8" t="n">
        <v>4849</v>
      </c>
      <c r="N50" s="8" t="n">
        <v>4551</v>
      </c>
      <c r="O50" s="9">
        <f>SUM(F50:N50)</f>
        <v/>
      </c>
    </row>
    <row r="51">
      <c r="A51" s="2" t="n">
        <v>3040</v>
      </c>
      <c r="B51" s="2" t="inlineStr">
        <is>
          <t>Revisor</t>
        </is>
      </c>
      <c r="C51" s="3" t="inlineStr">
        <is>
          <t>Drift</t>
        </is>
      </c>
      <c r="F51" s="7" t="n"/>
      <c r="G51" s="8" t="n">
        <v>11547</v>
      </c>
      <c r="H51" s="8" t="n">
        <v>11627</v>
      </c>
      <c r="I51" s="8" t="n">
        <v>10826</v>
      </c>
      <c r="J51" s="8" t="n">
        <v>11490</v>
      </c>
      <c r="K51" s="8" t="n">
        <v>11763</v>
      </c>
      <c r="L51" s="8" t="n">
        <v>11747</v>
      </c>
      <c r="M51" s="8" t="n">
        <v>11494</v>
      </c>
      <c r="N51" s="8" t="n">
        <v>12006</v>
      </c>
      <c r="O51" s="9">
        <f>SUM(F51:N51)</f>
        <v/>
      </c>
    </row>
    <row r="52">
      <c r="A52" s="2" t="n">
        <v>3050</v>
      </c>
      <c r="B52" s="2" t="inlineStr">
        <is>
          <t>Advokat og rådgivning</t>
        </is>
      </c>
      <c r="C52" s="3" t="inlineStr">
        <is>
          <t>Drift</t>
        </is>
      </c>
      <c r="F52" s="7" t="n"/>
      <c r="G52" s="8" t="n">
        <v>4390</v>
      </c>
      <c r="H52" s="8" t="n">
        <v>4703</v>
      </c>
      <c r="I52" s="8" t="n">
        <v>4507</v>
      </c>
      <c r="J52" s="8" t="n">
        <v>4697</v>
      </c>
      <c r="K52" s="8" t="n">
        <v>4657</v>
      </c>
      <c r="L52" s="8" t="n">
        <v>4646</v>
      </c>
      <c r="M52" s="8" t="n">
        <v>4636</v>
      </c>
      <c r="N52" s="8" t="n">
        <v>4764</v>
      </c>
      <c r="O52" s="9">
        <f>SUM(F52:N52)</f>
        <v/>
      </c>
    </row>
    <row r="53">
      <c r="A53" s="2" t="n">
        <v>3060</v>
      </c>
      <c r="B53" s="2" t="inlineStr">
        <is>
          <t>Forsikringer</t>
        </is>
      </c>
      <c r="C53" s="3" t="inlineStr">
        <is>
          <t>Drift</t>
        </is>
      </c>
      <c r="F53" s="7" t="n"/>
      <c r="G53" s="8" t="n">
        <v>15631</v>
      </c>
      <c r="H53" s="8" t="n">
        <v>15201</v>
      </c>
      <c r="I53" s="8" t="n">
        <v>16768</v>
      </c>
      <c r="J53" s="8" t="n">
        <v>16462</v>
      </c>
      <c r="K53" s="8" t="n">
        <v>15240</v>
      </c>
      <c r="L53" s="8" t="n">
        <v>17298</v>
      </c>
      <c r="M53" s="8" t="n">
        <v>17526</v>
      </c>
      <c r="N53" s="8" t="n">
        <v>15374</v>
      </c>
      <c r="O53" s="9">
        <f>SUM(F53:N53)</f>
        <v/>
      </c>
    </row>
    <row r="54">
      <c r="A54" s="2" t="n">
        <v>3070</v>
      </c>
      <c r="B54" s="2" t="inlineStr">
        <is>
          <t>Småanskaffelser</t>
        </is>
      </c>
      <c r="C54" s="3" t="inlineStr">
        <is>
          <t>Drift</t>
        </is>
      </c>
      <c r="F54" s="7" t="n"/>
      <c r="G54" s="8" t="n">
        <v>4662</v>
      </c>
      <c r="H54" s="8" t="n">
        <v>4366</v>
      </c>
      <c r="I54" s="8" t="n">
        <v>4572</v>
      </c>
      <c r="J54" s="8" t="n">
        <v>4416</v>
      </c>
      <c r="K54" s="8" t="n">
        <v>4759</v>
      </c>
      <c r="L54" s="8" t="n">
        <v>4825</v>
      </c>
      <c r="M54" s="8" t="n">
        <v>4854</v>
      </c>
      <c r="N54" s="8" t="n">
        <v>4546</v>
      </c>
      <c r="O54" s="9">
        <f>SUM(F54:N54)</f>
        <v/>
      </c>
    </row>
    <row r="55">
      <c r="A55" s="2" t="n">
        <v>3080</v>
      </c>
      <c r="B55" s="2" t="inlineStr">
        <is>
          <t>Porto og gebyrer</t>
        </is>
      </c>
      <c r="C55" s="3" t="inlineStr">
        <is>
          <t>Drift</t>
        </is>
      </c>
      <c r="F55" s="7" t="n"/>
      <c r="G55" s="8" t="n">
        <v>1872</v>
      </c>
      <c r="H55" s="8" t="n">
        <v>1832</v>
      </c>
      <c r="I55" s="8" t="n">
        <v>1696</v>
      </c>
      <c r="J55" s="8" t="n">
        <v>1846</v>
      </c>
      <c r="K55" s="8" t="n">
        <v>1876</v>
      </c>
      <c r="L55" s="8" t="n">
        <v>1878</v>
      </c>
      <c r="M55" s="8" t="n">
        <v>1786</v>
      </c>
      <c r="N55" s="8" t="n">
        <v>2014</v>
      </c>
      <c r="O55" s="9">
        <f>SUM(F55:N55)</f>
        <v/>
      </c>
    </row>
    <row r="56">
      <c r="A56" s="10" t="n">
        <v>3099</v>
      </c>
      <c r="B56" s="10" t="inlineStr">
        <is>
          <t>Administrationsomkostninger i alt</t>
        </is>
      </c>
      <c r="C56" s="11" t="inlineStr">
        <is>
          <t>Sum</t>
        </is>
      </c>
      <c r="D56" s="11" t="n">
        <v>3000</v>
      </c>
      <c r="E56" s="11" t="n">
        <v>3098</v>
      </c>
      <c r="F56" s="12">
        <f>SUMIFS(F$7:F55,$A$7:$A55,"&gt;="&amp;$D56,$A$7:$A55,"&lt;="&amp;$E56,$C$7:$C55,"&lt;&gt;Sum")</f>
        <v/>
      </c>
      <c r="G56" s="12">
        <f>SUMIFS(G$7:G55,$A$7:$A55,"&gt;="&amp;$D56,$A$7:$A55,"&lt;="&amp;$E56,$C$7:$C55,"&lt;&gt;Sum")</f>
        <v/>
      </c>
      <c r="H56" s="12">
        <f>SUMIFS(H$7:H55,$A$7:$A55,"&gt;="&amp;$D56,$A$7:$A55,"&lt;="&amp;$E56,$C$7:$C55,"&lt;&gt;Sum")</f>
        <v/>
      </c>
      <c r="I56" s="12">
        <f>SUMIFS(I$7:I55,$A$7:$A55,"&gt;="&amp;$D56,$A$7:$A55,"&lt;="&amp;$E56,$C$7:$C55,"&lt;&gt;Sum")</f>
        <v/>
      </c>
      <c r="J56" s="12">
        <f>SUMIFS(J$7:J55,$A$7:$A55,"&gt;="&amp;$D56,$A$7:$A55,"&lt;="&amp;$E56,$C$7:$C55,"&lt;&gt;Sum")</f>
        <v/>
      </c>
      <c r="K56" s="12">
        <f>SUMIFS(K$7:K55,$A$7:$A55,"&gt;="&amp;$D56,$A$7:$A55,"&lt;="&amp;$E56,$C$7:$C55,"&lt;&gt;Sum")</f>
        <v/>
      </c>
      <c r="L56" s="12">
        <f>SUMIFS(L$7:L55,$A$7:$A55,"&gt;="&amp;$D56,$A$7:$A55,"&lt;="&amp;$E56,$C$7:$C55,"&lt;&gt;Sum")</f>
        <v/>
      </c>
      <c r="M56" s="12">
        <f>SUMIFS(M$7:M55,$A$7:$A55,"&gt;="&amp;$D56,$A$7:$A55,"&lt;="&amp;$E56,$C$7:$C55,"&lt;&gt;Sum")</f>
        <v/>
      </c>
      <c r="N56" s="12">
        <f>SUMIFS(N$7:N55,$A$7:$A55,"&gt;="&amp;$D56,$A$7:$A55,"&lt;="&amp;$E56,$C$7:$C55,"&lt;&gt;Sum")</f>
        <v/>
      </c>
      <c r="O56" s="12">
        <f>SUM(F56:N56)</f>
        <v/>
      </c>
    </row>
    <row r="57">
      <c r="A57" s="6" t="n">
        <v>3200</v>
      </c>
      <c r="B57" s="6" t="inlineStr">
        <is>
          <t>Bilomkostninger</t>
        </is>
      </c>
      <c r="C57" s="3" t="inlineStr">
        <is>
          <t>Overskrift</t>
        </is>
      </c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</row>
    <row r="58">
      <c r="A58" s="2" t="n">
        <v>3210</v>
      </c>
      <c r="B58" s="2" t="inlineStr">
        <is>
          <t>Brændstof</t>
        </is>
      </c>
      <c r="C58" s="3" t="inlineStr">
        <is>
          <t>Drift</t>
        </is>
      </c>
      <c r="F58" s="7" t="n"/>
      <c r="G58" s="8" t="n">
        <v>6917</v>
      </c>
      <c r="H58" s="8" t="n">
        <v>6749</v>
      </c>
      <c r="I58" s="8" t="n">
        <v>6734</v>
      </c>
      <c r="J58" s="8" t="n">
        <v>7138</v>
      </c>
      <c r="K58" s="8" t="n">
        <v>7015</v>
      </c>
      <c r="L58" s="8" t="n">
        <v>6847</v>
      </c>
      <c r="M58" s="8" t="n">
        <v>6993</v>
      </c>
      <c r="N58" s="8" t="n">
        <v>7107</v>
      </c>
      <c r="O58" s="9">
        <f>SUM(F58:N58)</f>
        <v/>
      </c>
    </row>
    <row r="59">
      <c r="A59" s="2" t="n">
        <v>3220</v>
      </c>
      <c r="B59" s="2" t="inlineStr">
        <is>
          <t>Leasing af biler</t>
        </is>
      </c>
      <c r="C59" s="3" t="inlineStr">
        <is>
          <t>Drift</t>
        </is>
      </c>
      <c r="F59" s="7" t="n"/>
      <c r="G59" s="8" t="n">
        <v>6921</v>
      </c>
      <c r="H59" s="8" t="n">
        <v>6651</v>
      </c>
      <c r="I59" s="8" t="n">
        <v>6828</v>
      </c>
      <c r="J59" s="8" t="n">
        <v>6836</v>
      </c>
      <c r="K59" s="8" t="n">
        <v>7165</v>
      </c>
      <c r="L59" s="8" t="n">
        <v>6999</v>
      </c>
      <c r="M59" s="8" t="n">
        <v>7043</v>
      </c>
      <c r="N59" s="8" t="n">
        <v>7057</v>
      </c>
      <c r="O59" s="9">
        <f>SUM(F59:N59)</f>
        <v/>
      </c>
    </row>
    <row r="60">
      <c r="A60" s="2" t="n">
        <v>3230</v>
      </c>
      <c r="B60" s="2" t="inlineStr">
        <is>
          <t>Vedligeholdelse af biler</t>
        </is>
      </c>
      <c r="C60" s="3" t="inlineStr">
        <is>
          <t>Drift</t>
        </is>
      </c>
      <c r="F60" s="7" t="n"/>
      <c r="G60" s="8" t="n">
        <v>1811</v>
      </c>
      <c r="H60" s="8" t="n">
        <v>1674</v>
      </c>
      <c r="I60" s="8" t="n">
        <v>1915</v>
      </c>
      <c r="J60" s="8" t="n">
        <v>1806</v>
      </c>
      <c r="K60" s="8" t="n">
        <v>1915</v>
      </c>
      <c r="L60" s="8" t="n">
        <v>1879</v>
      </c>
      <c r="M60" s="8" t="n">
        <v>1868</v>
      </c>
      <c r="N60" s="8" t="n">
        <v>1932</v>
      </c>
      <c r="O60" s="9">
        <f>SUM(F60:N60)</f>
        <v/>
      </c>
    </row>
    <row r="61">
      <c r="A61" s="10" t="n">
        <v>3299</v>
      </c>
      <c r="B61" s="10" t="inlineStr">
        <is>
          <t>Bilomkostninger i alt</t>
        </is>
      </c>
      <c r="C61" s="11" t="inlineStr">
        <is>
          <t>Sum</t>
        </is>
      </c>
      <c r="D61" s="11" t="n">
        <v>3200</v>
      </c>
      <c r="E61" s="11" t="n">
        <v>3298</v>
      </c>
      <c r="F61" s="12">
        <f>SUMIFS(F$7:F60,$A$7:$A60,"&gt;="&amp;$D61,$A$7:$A60,"&lt;="&amp;$E61,$C$7:$C60,"&lt;&gt;Sum")</f>
        <v/>
      </c>
      <c r="G61" s="12">
        <f>SUMIFS(G$7:G60,$A$7:$A60,"&gt;="&amp;$D61,$A$7:$A60,"&lt;="&amp;$E61,$C$7:$C60,"&lt;&gt;Sum")</f>
        <v/>
      </c>
      <c r="H61" s="12">
        <f>SUMIFS(H$7:H60,$A$7:$A60,"&gt;="&amp;$D61,$A$7:$A60,"&lt;="&amp;$E61,$C$7:$C60,"&lt;&gt;Sum")</f>
        <v/>
      </c>
      <c r="I61" s="12">
        <f>SUMIFS(I$7:I60,$A$7:$A60,"&gt;="&amp;$D61,$A$7:$A60,"&lt;="&amp;$E61,$C$7:$C60,"&lt;&gt;Sum")</f>
        <v/>
      </c>
      <c r="J61" s="12">
        <f>SUMIFS(J$7:J60,$A$7:$A60,"&gt;="&amp;$D61,$A$7:$A60,"&lt;="&amp;$E61,$C$7:$C60,"&lt;&gt;Sum")</f>
        <v/>
      </c>
      <c r="K61" s="12">
        <f>SUMIFS(K$7:K60,$A$7:$A60,"&gt;="&amp;$D61,$A$7:$A60,"&lt;="&amp;$E61,$C$7:$C60,"&lt;&gt;Sum")</f>
        <v/>
      </c>
      <c r="L61" s="12">
        <f>SUMIFS(L$7:L60,$A$7:$A60,"&gt;="&amp;$D61,$A$7:$A60,"&lt;="&amp;$E61,$C$7:$C60,"&lt;&gt;Sum")</f>
        <v/>
      </c>
      <c r="M61" s="12">
        <f>SUMIFS(M$7:M60,$A$7:$A60,"&gt;="&amp;$D61,$A$7:$A60,"&lt;="&amp;$E61,$C$7:$C60,"&lt;&gt;Sum")</f>
        <v/>
      </c>
      <c r="N61" s="12">
        <f>SUMIFS(N$7:N60,$A$7:$A60,"&gt;="&amp;$D61,$A$7:$A60,"&lt;="&amp;$E61,$C$7:$C60,"&lt;&gt;Sum")</f>
        <v/>
      </c>
      <c r="O61" s="12">
        <f>SUM(F61:N61)</f>
        <v/>
      </c>
    </row>
    <row r="62">
      <c r="A62" s="6" t="n">
        <v>3400</v>
      </c>
      <c r="B62" s="6" t="inlineStr">
        <is>
          <t>Andre driftsposter</t>
        </is>
      </c>
      <c r="C62" s="3" t="inlineStr">
        <is>
          <t>Overskrift</t>
        </is>
      </c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</row>
    <row r="63">
      <c r="A63" s="2" t="n">
        <v>3410</v>
      </c>
      <c r="B63" s="2" t="inlineStr">
        <is>
          <t>Andre driftsindtægter</t>
        </is>
      </c>
      <c r="C63" s="3" t="inlineStr">
        <is>
          <t>Drift</t>
        </is>
      </c>
      <c r="F63" s="7" t="n"/>
      <c r="G63" s="8" t="n">
        <v>0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0</v>
      </c>
      <c r="M63" s="8" t="n">
        <v>0</v>
      </c>
      <c r="N63" s="8" t="n">
        <v>0</v>
      </c>
      <c r="O63" s="9">
        <f>SUM(F63:N63)</f>
        <v/>
      </c>
    </row>
    <row r="64">
      <c r="A64" s="2" t="n">
        <v>3420</v>
      </c>
      <c r="B64" s="2" t="inlineStr">
        <is>
          <t>Andre driftsomkostninger</t>
        </is>
      </c>
      <c r="C64" s="3" t="inlineStr">
        <is>
          <t>Drift</t>
        </is>
      </c>
      <c r="F64" s="7" t="n"/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9">
        <f>SUM(F64:N64)</f>
        <v/>
      </c>
    </row>
    <row r="65">
      <c r="A65" s="10" t="n">
        <v>3500</v>
      </c>
      <c r="B65" s="10" t="inlineStr">
        <is>
          <t>RESULTAT FØR AFSKRIVNINGER</t>
        </is>
      </c>
      <c r="C65" s="11" t="inlineStr">
        <is>
          <t>Sum</t>
        </is>
      </c>
      <c r="D65" s="11" t="n">
        <v>1000</v>
      </c>
      <c r="E65" s="11" t="n">
        <v>3499</v>
      </c>
      <c r="F65" s="12">
        <f>SUMIFS(F$7:F64,$A$7:$A64,"&gt;="&amp;$D65,$A$7:$A64,"&lt;="&amp;$E65,$C$7:$C64,"&lt;&gt;Sum")</f>
        <v/>
      </c>
      <c r="G65" s="12">
        <f>SUMIFS(G$7:G64,$A$7:$A64,"&gt;="&amp;$D65,$A$7:$A64,"&lt;="&amp;$E65,$C$7:$C64,"&lt;&gt;Sum")</f>
        <v/>
      </c>
      <c r="H65" s="12">
        <f>SUMIFS(H$7:H64,$A$7:$A64,"&gt;="&amp;$D65,$A$7:$A64,"&lt;="&amp;$E65,$C$7:$C64,"&lt;&gt;Sum")</f>
        <v/>
      </c>
      <c r="I65" s="12">
        <f>SUMIFS(I$7:I64,$A$7:$A64,"&gt;="&amp;$D65,$A$7:$A64,"&lt;="&amp;$E65,$C$7:$C64,"&lt;&gt;Sum")</f>
        <v/>
      </c>
      <c r="J65" s="12">
        <f>SUMIFS(J$7:J64,$A$7:$A64,"&gt;="&amp;$D65,$A$7:$A64,"&lt;="&amp;$E65,$C$7:$C64,"&lt;&gt;Sum")</f>
        <v/>
      </c>
      <c r="K65" s="12">
        <f>SUMIFS(K$7:K64,$A$7:$A64,"&gt;="&amp;$D65,$A$7:$A64,"&lt;="&amp;$E65,$C$7:$C64,"&lt;&gt;Sum")</f>
        <v/>
      </c>
      <c r="L65" s="12">
        <f>SUMIFS(L$7:L64,$A$7:$A64,"&gt;="&amp;$D65,$A$7:$A64,"&lt;="&amp;$E65,$C$7:$C64,"&lt;&gt;Sum")</f>
        <v/>
      </c>
      <c r="M65" s="12">
        <f>SUMIFS(M$7:M64,$A$7:$A64,"&gt;="&amp;$D65,$A$7:$A64,"&lt;="&amp;$E65,$C$7:$C64,"&lt;&gt;Sum")</f>
        <v/>
      </c>
      <c r="N65" s="12">
        <f>SUMIFS(N$7:N64,$A$7:$A64,"&gt;="&amp;$D65,$A$7:$A64,"&lt;="&amp;$E65,$C$7:$C64,"&lt;&gt;Sum")</f>
        <v/>
      </c>
      <c r="O65" s="12">
        <f>SUM(F65:N65)</f>
        <v/>
      </c>
    </row>
    <row r="66">
      <c r="A66" s="6" t="n">
        <v>3600</v>
      </c>
      <c r="B66" s="6" t="inlineStr">
        <is>
          <t>Afskrivninger</t>
        </is>
      </c>
      <c r="C66" s="3" t="inlineStr">
        <is>
          <t>Overskrift</t>
        </is>
      </c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</row>
    <row r="67">
      <c r="A67" s="2" t="n">
        <v>3610</v>
      </c>
      <c r="B67" s="2" t="inlineStr">
        <is>
          <t>Afskrivning, udviklingsprojekter og software</t>
        </is>
      </c>
      <c r="C67" s="3" t="inlineStr">
        <is>
          <t>Drift</t>
        </is>
      </c>
      <c r="F67" s="7" t="n"/>
      <c r="G67" s="8" t="n">
        <v>20011</v>
      </c>
      <c r="H67" s="8" t="n">
        <v>21077</v>
      </c>
      <c r="I67" s="8" t="n">
        <v>19712</v>
      </c>
      <c r="J67" s="8" t="n">
        <v>20825</v>
      </c>
      <c r="K67" s="8" t="n">
        <v>19141</v>
      </c>
      <c r="L67" s="8" t="n">
        <v>20834</v>
      </c>
      <c r="M67" s="8" t="n">
        <v>21010</v>
      </c>
      <c r="N67" s="8" t="n">
        <v>20790</v>
      </c>
      <c r="O67" s="9">
        <f>SUM(F67:N67)</f>
        <v/>
      </c>
    </row>
    <row r="68">
      <c r="A68" s="2" t="n">
        <v>3620</v>
      </c>
      <c r="B68" s="2" t="inlineStr">
        <is>
          <t>Afskrivning, bygninger</t>
        </is>
      </c>
      <c r="C68" s="3" t="inlineStr">
        <is>
          <t>Drift</t>
        </is>
      </c>
      <c r="F68" s="7" t="n"/>
      <c r="G68" s="8" t="n">
        <v>10555</v>
      </c>
      <c r="H68" s="8" t="n">
        <v>10703</v>
      </c>
      <c r="I68" s="8" t="n">
        <v>11142</v>
      </c>
      <c r="J68" s="8" t="n">
        <v>10948</v>
      </c>
      <c r="K68" s="8" t="n">
        <v>10332</v>
      </c>
      <c r="L68" s="8" t="n">
        <v>11120</v>
      </c>
      <c r="M68" s="8" t="n">
        <v>11351</v>
      </c>
      <c r="N68" s="8" t="n">
        <v>10949</v>
      </c>
      <c r="O68" s="9">
        <f>SUM(F68:N68)</f>
        <v/>
      </c>
    </row>
    <row r="69">
      <c r="A69" s="2" t="n">
        <v>3630</v>
      </c>
      <c r="B69" s="2" t="inlineStr">
        <is>
          <t>Afskrivning, produktionsanlæg og maskiner</t>
        </is>
      </c>
      <c r="C69" s="3" t="inlineStr">
        <is>
          <t>Drift</t>
        </is>
      </c>
      <c r="F69" s="7" t="n"/>
      <c r="G69" s="8" t="n">
        <v>50301</v>
      </c>
      <c r="H69" s="8" t="n">
        <v>52073</v>
      </c>
      <c r="I69" s="8" t="n">
        <v>47426</v>
      </c>
      <c r="J69" s="8" t="n">
        <v>50801</v>
      </c>
      <c r="K69" s="8" t="n">
        <v>48734</v>
      </c>
      <c r="L69" s="8" t="n">
        <v>50265</v>
      </c>
      <c r="M69" s="8" t="n">
        <v>51806</v>
      </c>
      <c r="N69" s="8" t="n">
        <v>51494</v>
      </c>
      <c r="O69" s="9">
        <f>SUM(F69:N69)</f>
        <v/>
      </c>
    </row>
    <row r="70">
      <c r="A70" s="2" t="n">
        <v>3640</v>
      </c>
      <c r="B70" s="2" t="inlineStr">
        <is>
          <t>Afskrivning, driftsmateriel og inventar</t>
        </is>
      </c>
      <c r="C70" s="3" t="inlineStr">
        <is>
          <t>Drift</t>
        </is>
      </c>
      <c r="F70" s="7" t="n"/>
      <c r="G70" s="8" t="n">
        <v>8948</v>
      </c>
      <c r="H70" s="8" t="n">
        <v>8878</v>
      </c>
      <c r="I70" s="8" t="n">
        <v>9174</v>
      </c>
      <c r="J70" s="8" t="n">
        <v>9137</v>
      </c>
      <c r="K70" s="8" t="n">
        <v>9032</v>
      </c>
      <c r="L70" s="8" t="n">
        <v>8831</v>
      </c>
      <c r="M70" s="8" t="n">
        <v>9563</v>
      </c>
      <c r="N70" s="8" t="n">
        <v>9037</v>
      </c>
      <c r="O70" s="9">
        <f>SUM(F70:N70)</f>
        <v/>
      </c>
    </row>
    <row r="71">
      <c r="A71" s="2" t="n">
        <v>3650</v>
      </c>
      <c r="B71" s="2" t="inlineStr">
        <is>
          <t>Avance/tab ved salg af anlægsaktiver</t>
        </is>
      </c>
      <c r="C71" s="3" t="inlineStr">
        <is>
          <t>Drift</t>
        </is>
      </c>
      <c r="F71" s="7" t="n"/>
      <c r="G71" s="8" t="n">
        <v>0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0</v>
      </c>
      <c r="M71" s="8" t="n">
        <v>0</v>
      </c>
      <c r="N71" s="8" t="n">
        <v>0</v>
      </c>
      <c r="O71" s="9">
        <f>SUM(F71:N71)</f>
        <v/>
      </c>
    </row>
    <row r="72">
      <c r="A72" s="10" t="n">
        <v>3699</v>
      </c>
      <c r="B72" s="10" t="inlineStr">
        <is>
          <t>Afskrivninger i alt</t>
        </is>
      </c>
      <c r="C72" s="11" t="inlineStr">
        <is>
          <t>Sum</t>
        </is>
      </c>
      <c r="D72" s="11" t="n">
        <v>3600</v>
      </c>
      <c r="E72" s="11" t="n">
        <v>3698</v>
      </c>
      <c r="F72" s="12">
        <f>SUMIFS(F$7:F71,$A$7:$A71,"&gt;="&amp;$D72,$A$7:$A71,"&lt;="&amp;$E72,$C$7:$C71,"&lt;&gt;Sum")</f>
        <v/>
      </c>
      <c r="G72" s="12">
        <f>SUMIFS(G$7:G71,$A$7:$A71,"&gt;="&amp;$D72,$A$7:$A71,"&lt;="&amp;$E72,$C$7:$C71,"&lt;&gt;Sum")</f>
        <v/>
      </c>
      <c r="H72" s="12">
        <f>SUMIFS(H$7:H71,$A$7:$A71,"&gt;="&amp;$D72,$A$7:$A71,"&lt;="&amp;$E72,$C$7:$C71,"&lt;&gt;Sum")</f>
        <v/>
      </c>
      <c r="I72" s="12">
        <f>SUMIFS(I$7:I71,$A$7:$A71,"&gt;="&amp;$D72,$A$7:$A71,"&lt;="&amp;$E72,$C$7:$C71,"&lt;&gt;Sum")</f>
        <v/>
      </c>
      <c r="J72" s="12">
        <f>SUMIFS(J$7:J71,$A$7:$A71,"&gt;="&amp;$D72,$A$7:$A71,"&lt;="&amp;$E72,$C$7:$C71,"&lt;&gt;Sum")</f>
        <v/>
      </c>
      <c r="K72" s="12">
        <f>SUMIFS(K$7:K71,$A$7:$A71,"&gt;="&amp;$D72,$A$7:$A71,"&lt;="&amp;$E72,$C$7:$C71,"&lt;&gt;Sum")</f>
        <v/>
      </c>
      <c r="L72" s="12">
        <f>SUMIFS(L$7:L71,$A$7:$A71,"&gt;="&amp;$D72,$A$7:$A71,"&lt;="&amp;$E72,$C$7:$C71,"&lt;&gt;Sum")</f>
        <v/>
      </c>
      <c r="M72" s="12">
        <f>SUMIFS(M$7:M71,$A$7:$A71,"&gt;="&amp;$D72,$A$7:$A71,"&lt;="&amp;$E72,$C$7:$C71,"&lt;&gt;Sum")</f>
        <v/>
      </c>
      <c r="N72" s="12">
        <f>SUMIFS(N$7:N71,$A$7:$A71,"&gt;="&amp;$D72,$A$7:$A71,"&lt;="&amp;$E72,$C$7:$C71,"&lt;&gt;Sum")</f>
        <v/>
      </c>
      <c r="O72" s="12">
        <f>SUM(F72:N72)</f>
        <v/>
      </c>
    </row>
    <row r="73">
      <c r="A73" s="10" t="n">
        <v>3700</v>
      </c>
      <c r="B73" s="10" t="inlineStr">
        <is>
          <t>RESULTAT FØR RENTER</t>
        </is>
      </c>
      <c r="C73" s="11" t="inlineStr">
        <is>
          <t>Sum</t>
        </is>
      </c>
      <c r="D73" s="11" t="n">
        <v>1000</v>
      </c>
      <c r="E73" s="11" t="n">
        <v>3699</v>
      </c>
      <c r="F73" s="12">
        <f>SUMIFS(F$7:F72,$A$7:$A72,"&gt;="&amp;$D73,$A$7:$A72,"&lt;="&amp;$E73,$C$7:$C72,"&lt;&gt;Sum")</f>
        <v/>
      </c>
      <c r="G73" s="12">
        <f>SUMIFS(G$7:G72,$A$7:$A72,"&gt;="&amp;$D73,$A$7:$A72,"&lt;="&amp;$E73,$C$7:$C72,"&lt;&gt;Sum")</f>
        <v/>
      </c>
      <c r="H73" s="12">
        <f>SUMIFS(H$7:H72,$A$7:$A72,"&gt;="&amp;$D73,$A$7:$A72,"&lt;="&amp;$E73,$C$7:$C72,"&lt;&gt;Sum")</f>
        <v/>
      </c>
      <c r="I73" s="12">
        <f>SUMIFS(I$7:I72,$A$7:$A72,"&gt;="&amp;$D73,$A$7:$A72,"&lt;="&amp;$E73,$C$7:$C72,"&lt;&gt;Sum")</f>
        <v/>
      </c>
      <c r="J73" s="12">
        <f>SUMIFS(J$7:J72,$A$7:$A72,"&gt;="&amp;$D73,$A$7:$A72,"&lt;="&amp;$E73,$C$7:$C72,"&lt;&gt;Sum")</f>
        <v/>
      </c>
      <c r="K73" s="12">
        <f>SUMIFS(K$7:K72,$A$7:$A72,"&gt;="&amp;$D73,$A$7:$A72,"&lt;="&amp;$E73,$C$7:$C72,"&lt;&gt;Sum")</f>
        <v/>
      </c>
      <c r="L73" s="12">
        <f>SUMIFS(L$7:L72,$A$7:$A72,"&gt;="&amp;$D73,$A$7:$A72,"&lt;="&amp;$E73,$C$7:$C72,"&lt;&gt;Sum")</f>
        <v/>
      </c>
      <c r="M73" s="12">
        <f>SUMIFS(M$7:M72,$A$7:$A72,"&gt;="&amp;$D73,$A$7:$A72,"&lt;="&amp;$E73,$C$7:$C72,"&lt;&gt;Sum")</f>
        <v/>
      </c>
      <c r="N73" s="12">
        <f>SUMIFS(N$7:N72,$A$7:$A72,"&gt;="&amp;$D73,$A$7:$A72,"&lt;="&amp;$E73,$C$7:$C72,"&lt;&gt;Sum")</f>
        <v/>
      </c>
      <c r="O73" s="12">
        <f>SUM(F73:N73)</f>
        <v/>
      </c>
    </row>
    <row r="74">
      <c r="A74" s="6" t="n">
        <v>3800</v>
      </c>
      <c r="B74" s="6" t="inlineStr">
        <is>
          <t>Finansielle poster</t>
        </is>
      </c>
      <c r="C74" s="3" t="inlineStr">
        <is>
          <t>Overskrift</t>
        </is>
      </c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</row>
    <row r="75">
      <c r="A75" s="2" t="n">
        <v>3810</v>
      </c>
      <c r="B75" s="2" t="inlineStr">
        <is>
          <t>Renteindtægter</t>
        </is>
      </c>
      <c r="C75" s="3" t="inlineStr">
        <is>
          <t>Drift</t>
        </is>
      </c>
      <c r="F75" s="7" t="n"/>
      <c r="G75" s="8" t="n">
        <v>-1010</v>
      </c>
      <c r="H75" s="8" t="n">
        <v>-1020</v>
      </c>
      <c r="I75" s="8" t="n">
        <v>-970</v>
      </c>
      <c r="J75" s="8" t="n">
        <v>-640</v>
      </c>
      <c r="K75" s="8" t="n">
        <v>-658</v>
      </c>
      <c r="L75" s="8" t="n">
        <v>-702</v>
      </c>
      <c r="M75" s="8" t="n">
        <v>-1006</v>
      </c>
      <c r="N75" s="8" t="n">
        <v>-994</v>
      </c>
      <c r="O75" s="9">
        <f>SUM(F75:N75)</f>
        <v/>
      </c>
    </row>
    <row r="76">
      <c r="A76" s="2" t="n">
        <v>3820</v>
      </c>
      <c r="B76" s="2" t="inlineStr">
        <is>
          <t>Renteudgifter, bank og kassekredit</t>
        </is>
      </c>
      <c r="C76" s="3" t="inlineStr">
        <is>
          <t>Drift</t>
        </is>
      </c>
      <c r="F76" s="7" t="n"/>
      <c r="G76" s="8" t="n">
        <v>15412</v>
      </c>
      <c r="H76" s="8" t="n">
        <v>15873</v>
      </c>
      <c r="I76" s="8" t="n">
        <v>16215</v>
      </c>
      <c r="J76" s="8" t="n">
        <v>15692</v>
      </c>
      <c r="K76" s="8" t="n">
        <v>15722</v>
      </c>
      <c r="L76" s="8" t="n">
        <v>15586</v>
      </c>
      <c r="M76" s="8" t="n">
        <v>18084</v>
      </c>
      <c r="N76" s="8" t="n">
        <v>16316</v>
      </c>
      <c r="O76" s="9">
        <f>SUM(F76:N76)</f>
        <v/>
      </c>
    </row>
    <row r="77">
      <c r="A77" s="2" t="n">
        <v>3830</v>
      </c>
      <c r="B77" s="2" t="inlineStr">
        <is>
          <t>Renteudgifter, realkredit</t>
        </is>
      </c>
      <c r="C77" s="3" t="inlineStr">
        <is>
          <t>Drift</t>
        </is>
      </c>
      <c r="F77" s="7" t="n"/>
      <c r="G77" s="8" t="n">
        <v>9916</v>
      </c>
      <c r="H77" s="8" t="n">
        <v>8958</v>
      </c>
      <c r="I77" s="8" t="n">
        <v>9326</v>
      </c>
      <c r="J77" s="8" t="n">
        <v>8973</v>
      </c>
      <c r="K77" s="8" t="n">
        <v>9628</v>
      </c>
      <c r="L77" s="8" t="n">
        <v>9399</v>
      </c>
      <c r="M77" s="8" t="n">
        <v>10060</v>
      </c>
      <c r="N77" s="8" t="n">
        <v>10440</v>
      </c>
      <c r="O77" s="9">
        <f>SUM(F77:N77)</f>
        <v/>
      </c>
    </row>
    <row r="78">
      <c r="A78" s="2" t="n">
        <v>3840</v>
      </c>
      <c r="B78" s="2" t="inlineStr">
        <is>
          <t>Renteudgifter, leasing</t>
        </is>
      </c>
      <c r="C78" s="3" t="inlineStr">
        <is>
          <t>Drift</t>
        </is>
      </c>
      <c r="F78" s="7" t="n"/>
      <c r="G78" s="8" t="n">
        <v>3457</v>
      </c>
      <c r="H78" s="8" t="n">
        <v>3932</v>
      </c>
      <c r="I78" s="8" t="n">
        <v>3911</v>
      </c>
      <c r="J78" s="8" t="n">
        <v>3532</v>
      </c>
      <c r="K78" s="8" t="n">
        <v>3828</v>
      </c>
      <c r="L78" s="8" t="n">
        <v>3840</v>
      </c>
      <c r="M78" s="8" t="n">
        <v>4076</v>
      </c>
      <c r="N78" s="8" t="n">
        <v>4124</v>
      </c>
      <c r="O78" s="9">
        <f>SUM(F78:N78)</f>
        <v/>
      </c>
    </row>
    <row r="79">
      <c r="A79" s="2" t="n">
        <v>3850</v>
      </c>
      <c r="B79" s="2" t="inlineStr">
        <is>
          <t>Renter, lån fra ejer</t>
        </is>
      </c>
      <c r="C79" s="3" t="inlineStr">
        <is>
          <t>Drift</t>
        </is>
      </c>
      <c r="F79" s="7" t="n"/>
      <c r="G79" s="8" t="n">
        <v>4415</v>
      </c>
      <c r="H79" s="8" t="n">
        <v>4717</v>
      </c>
      <c r="I79" s="8" t="n">
        <v>4468</v>
      </c>
      <c r="J79" s="8" t="n">
        <v>4404</v>
      </c>
      <c r="K79" s="8" t="n">
        <v>4360</v>
      </c>
      <c r="L79" s="8" t="n">
        <v>4636</v>
      </c>
      <c r="M79" s="8" t="n">
        <v>4962</v>
      </c>
      <c r="N79" s="8" t="n">
        <v>4838</v>
      </c>
      <c r="O79" s="9">
        <f>SUM(F79:N79)</f>
        <v/>
      </c>
    </row>
    <row r="80">
      <c r="A80" s="2" t="n">
        <v>3860</v>
      </c>
      <c r="B80" s="2" t="inlineStr">
        <is>
          <t>Kursdifferencer, valuta</t>
        </is>
      </c>
      <c r="C80" s="3" t="inlineStr">
        <is>
          <t>Drift</t>
        </is>
      </c>
      <c r="F80" s="7" t="n"/>
      <c r="G80" s="8" t="n">
        <v>2353</v>
      </c>
      <c r="H80" s="8" t="n">
        <v>2246</v>
      </c>
      <c r="I80" s="8" t="n">
        <v>2201</v>
      </c>
      <c r="J80" s="8" t="n">
        <v>2297</v>
      </c>
      <c r="K80" s="8" t="n">
        <v>2254</v>
      </c>
      <c r="L80" s="8" t="n">
        <v>2249</v>
      </c>
      <c r="M80" s="8" t="n">
        <v>2575</v>
      </c>
      <c r="N80" s="8" t="n">
        <v>2425</v>
      </c>
      <c r="O80" s="9">
        <f>SUM(F80:N80)</f>
        <v/>
      </c>
    </row>
    <row r="81">
      <c r="A81" s="2" t="n">
        <v>3870</v>
      </c>
      <c r="B81" s="2" t="inlineStr">
        <is>
          <t>Bankgebyrer</t>
        </is>
      </c>
      <c r="C81" s="3" t="inlineStr">
        <is>
          <t>Drift</t>
        </is>
      </c>
      <c r="F81" s="7" t="n"/>
      <c r="G81" s="8" t="n">
        <v>1866</v>
      </c>
      <c r="H81" s="8" t="n">
        <v>1865</v>
      </c>
      <c r="I81" s="8" t="n">
        <v>1869</v>
      </c>
      <c r="J81" s="8" t="n">
        <v>1874</v>
      </c>
      <c r="K81" s="8" t="n">
        <v>1864</v>
      </c>
      <c r="L81" s="8" t="n">
        <v>1862</v>
      </c>
      <c r="M81" s="8" t="n">
        <v>2079</v>
      </c>
      <c r="N81" s="8" t="n">
        <v>2021</v>
      </c>
      <c r="O81" s="9">
        <f>SUM(F81:N81)</f>
        <v/>
      </c>
    </row>
    <row r="82">
      <c r="A82" s="10" t="n">
        <v>3899</v>
      </c>
      <c r="B82" s="10" t="inlineStr">
        <is>
          <t>Finansielle poster i alt</t>
        </is>
      </c>
      <c r="C82" s="11" t="inlineStr">
        <is>
          <t>Sum</t>
        </is>
      </c>
      <c r="D82" s="11" t="n">
        <v>3800</v>
      </c>
      <c r="E82" s="11" t="n">
        <v>3898</v>
      </c>
      <c r="F82" s="12">
        <f>SUMIFS(F$7:F81,$A$7:$A81,"&gt;="&amp;$D82,$A$7:$A81,"&lt;="&amp;$E82,$C$7:$C81,"&lt;&gt;Sum")</f>
        <v/>
      </c>
      <c r="G82" s="12">
        <f>SUMIFS(G$7:G81,$A$7:$A81,"&gt;="&amp;$D82,$A$7:$A81,"&lt;="&amp;$E82,$C$7:$C81,"&lt;&gt;Sum")</f>
        <v/>
      </c>
      <c r="H82" s="12">
        <f>SUMIFS(H$7:H81,$A$7:$A81,"&gt;="&amp;$D82,$A$7:$A81,"&lt;="&amp;$E82,$C$7:$C81,"&lt;&gt;Sum")</f>
        <v/>
      </c>
      <c r="I82" s="12">
        <f>SUMIFS(I$7:I81,$A$7:$A81,"&gt;="&amp;$D82,$A$7:$A81,"&lt;="&amp;$E82,$C$7:$C81,"&lt;&gt;Sum")</f>
        <v/>
      </c>
      <c r="J82" s="12">
        <f>SUMIFS(J$7:J81,$A$7:$A81,"&gt;="&amp;$D82,$A$7:$A81,"&lt;="&amp;$E82,$C$7:$C81,"&lt;&gt;Sum")</f>
        <v/>
      </c>
      <c r="K82" s="12">
        <f>SUMIFS(K$7:K81,$A$7:$A81,"&gt;="&amp;$D82,$A$7:$A81,"&lt;="&amp;$E82,$C$7:$C81,"&lt;&gt;Sum")</f>
        <v/>
      </c>
      <c r="L82" s="12">
        <f>SUMIFS(L$7:L81,$A$7:$A81,"&gt;="&amp;$D82,$A$7:$A81,"&lt;="&amp;$E82,$C$7:$C81,"&lt;&gt;Sum")</f>
        <v/>
      </c>
      <c r="M82" s="12">
        <f>SUMIFS(M$7:M81,$A$7:$A81,"&gt;="&amp;$D82,$A$7:$A81,"&lt;="&amp;$E82,$C$7:$C81,"&lt;&gt;Sum")</f>
        <v/>
      </c>
      <c r="N82" s="12">
        <f>SUMIFS(N$7:N81,$A$7:$A81,"&gt;="&amp;$D82,$A$7:$A81,"&lt;="&amp;$E82,$C$7:$C81,"&lt;&gt;Sum")</f>
        <v/>
      </c>
      <c r="O82" s="12">
        <f>SUM(F82:N82)</f>
        <v/>
      </c>
    </row>
    <row r="83">
      <c r="A83" s="10" t="n">
        <v>3900</v>
      </c>
      <c r="B83" s="10" t="inlineStr">
        <is>
          <t>RESULTAT FØR SKAT</t>
        </is>
      </c>
      <c r="C83" s="11" t="inlineStr">
        <is>
          <t>Sum</t>
        </is>
      </c>
      <c r="D83" s="11" t="n">
        <v>1000</v>
      </c>
      <c r="E83" s="11" t="n">
        <v>3899</v>
      </c>
      <c r="F83" s="12">
        <f>SUMIFS(F$7:F82,$A$7:$A82,"&gt;="&amp;$D83,$A$7:$A82,"&lt;="&amp;$E83,$C$7:$C82,"&lt;&gt;Sum")</f>
        <v/>
      </c>
      <c r="G83" s="12">
        <f>SUMIFS(G$7:G82,$A$7:$A82,"&gt;="&amp;$D83,$A$7:$A82,"&lt;="&amp;$E83,$C$7:$C82,"&lt;&gt;Sum")</f>
        <v/>
      </c>
      <c r="H83" s="12">
        <f>SUMIFS(H$7:H82,$A$7:$A82,"&gt;="&amp;$D83,$A$7:$A82,"&lt;="&amp;$E83,$C$7:$C82,"&lt;&gt;Sum")</f>
        <v/>
      </c>
      <c r="I83" s="12">
        <f>SUMIFS(I$7:I82,$A$7:$A82,"&gt;="&amp;$D83,$A$7:$A82,"&lt;="&amp;$E83,$C$7:$C82,"&lt;&gt;Sum")</f>
        <v/>
      </c>
      <c r="J83" s="12">
        <f>SUMIFS(J$7:J82,$A$7:$A82,"&gt;="&amp;$D83,$A$7:$A82,"&lt;="&amp;$E83,$C$7:$C82,"&lt;&gt;Sum")</f>
        <v/>
      </c>
      <c r="K83" s="12">
        <f>SUMIFS(K$7:K82,$A$7:$A82,"&gt;="&amp;$D83,$A$7:$A82,"&lt;="&amp;$E83,$C$7:$C82,"&lt;&gt;Sum")</f>
        <v/>
      </c>
      <c r="L83" s="12">
        <f>SUMIFS(L$7:L82,$A$7:$A82,"&gt;="&amp;$D83,$A$7:$A82,"&lt;="&amp;$E83,$C$7:$C82,"&lt;&gt;Sum")</f>
        <v/>
      </c>
      <c r="M83" s="12">
        <f>SUMIFS(M$7:M82,$A$7:$A82,"&gt;="&amp;$D83,$A$7:$A82,"&lt;="&amp;$E83,$C$7:$C82,"&lt;&gt;Sum")</f>
        <v/>
      </c>
      <c r="N83" s="12">
        <f>SUMIFS(N$7:N82,$A$7:$A82,"&gt;="&amp;$D83,$A$7:$A82,"&lt;="&amp;$E83,$C$7:$C82,"&lt;&gt;Sum")</f>
        <v/>
      </c>
      <c r="O83" s="12">
        <f>SUM(F83:N83)</f>
        <v/>
      </c>
    </row>
    <row r="84">
      <c r="A84" s="2" t="n">
        <v>3910</v>
      </c>
      <c r="B84" s="2" t="inlineStr">
        <is>
          <t>Skat af årets resultat</t>
        </is>
      </c>
      <c r="C84" s="3" t="inlineStr">
        <is>
          <t>Drift</t>
        </is>
      </c>
      <c r="F84" s="7" t="n"/>
      <c r="G84" s="8" t="n">
        <v>0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0</v>
      </c>
      <c r="M84" s="8" t="n">
        <v>0</v>
      </c>
      <c r="N84" s="8" t="n">
        <v>0</v>
      </c>
      <c r="O84" s="9">
        <f>SUM(F84:N84)</f>
        <v/>
      </c>
    </row>
    <row r="85">
      <c r="A85" s="2" t="n">
        <v>3920</v>
      </c>
      <c r="B85" s="2" t="inlineStr">
        <is>
          <t>Regulering af udskudt skat</t>
        </is>
      </c>
      <c r="C85" s="3" t="inlineStr">
        <is>
          <t>Drift</t>
        </is>
      </c>
      <c r="F85" s="7" t="n"/>
      <c r="G85" s="8" t="n">
        <v>0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0</v>
      </c>
      <c r="M85" s="8" t="n">
        <v>0</v>
      </c>
      <c r="N85" s="8" t="n">
        <v>0</v>
      </c>
      <c r="O85" s="9">
        <f>SUM(F85:N85)</f>
        <v/>
      </c>
    </row>
    <row r="86">
      <c r="A86" s="10" t="n">
        <v>3999</v>
      </c>
      <c r="B86" s="10" t="inlineStr">
        <is>
          <t>ÅRETS RESULTAT</t>
        </is>
      </c>
      <c r="C86" s="11" t="inlineStr">
        <is>
          <t>Sum</t>
        </is>
      </c>
      <c r="D86" s="11" t="n">
        <v>1000</v>
      </c>
      <c r="E86" s="11" t="n">
        <v>3998</v>
      </c>
      <c r="F86" s="12">
        <f>SUMIFS(F$7:F85,$A$7:$A85,"&gt;="&amp;$D86,$A$7:$A85,"&lt;="&amp;$E86,$C$7:$C85,"&lt;&gt;Sum")</f>
        <v/>
      </c>
      <c r="G86" s="12">
        <f>SUMIFS(G$7:G85,$A$7:$A85,"&gt;="&amp;$D86,$A$7:$A85,"&lt;="&amp;$E86,$C$7:$C85,"&lt;&gt;Sum")</f>
        <v/>
      </c>
      <c r="H86" s="12">
        <f>SUMIFS(H$7:H85,$A$7:$A85,"&gt;="&amp;$D86,$A$7:$A85,"&lt;="&amp;$E86,$C$7:$C85,"&lt;&gt;Sum")</f>
        <v/>
      </c>
      <c r="I86" s="12">
        <f>SUMIFS(I$7:I85,$A$7:$A85,"&gt;="&amp;$D86,$A$7:$A85,"&lt;="&amp;$E86,$C$7:$C85,"&lt;&gt;Sum")</f>
        <v/>
      </c>
      <c r="J86" s="12">
        <f>SUMIFS(J$7:J85,$A$7:$A85,"&gt;="&amp;$D86,$A$7:$A85,"&lt;="&amp;$E86,$C$7:$C85,"&lt;&gt;Sum")</f>
        <v/>
      </c>
      <c r="K86" s="12">
        <f>SUMIFS(K$7:K85,$A$7:$A85,"&gt;="&amp;$D86,$A$7:$A85,"&lt;="&amp;$E86,$C$7:$C85,"&lt;&gt;Sum")</f>
        <v/>
      </c>
      <c r="L86" s="12">
        <f>SUMIFS(L$7:L85,$A$7:$A85,"&gt;="&amp;$D86,$A$7:$A85,"&lt;="&amp;$E86,$C$7:$C85,"&lt;&gt;Sum")</f>
        <v/>
      </c>
      <c r="M86" s="12">
        <f>SUMIFS(M$7:M85,$A$7:$A85,"&gt;="&amp;$D86,$A$7:$A85,"&lt;="&amp;$E86,$C$7:$C85,"&lt;&gt;Sum")</f>
        <v/>
      </c>
      <c r="N86" s="12">
        <f>SUMIFS(N$7:N85,$A$7:$A85,"&gt;="&amp;$D86,$A$7:$A85,"&lt;="&amp;$E86,$C$7:$C85,"&lt;&gt;Sum")</f>
        <v/>
      </c>
      <c r="O86" s="12">
        <f>SUM(F86:N86)</f>
        <v/>
      </c>
    </row>
    <row r="87">
      <c r="A87" s="6" t="n">
        <v>5000</v>
      </c>
      <c r="B87" s="6" t="inlineStr">
        <is>
          <t>BALANCE</t>
        </is>
      </c>
      <c r="C87" s="3" t="inlineStr">
        <is>
          <t>Overskrift</t>
        </is>
      </c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</row>
    <row r="88">
      <c r="A88" s="6" t="n">
        <v>5100</v>
      </c>
      <c r="B88" s="6" t="inlineStr">
        <is>
          <t>Anlægsaktiver</t>
        </is>
      </c>
      <c r="C88" s="3" t="inlineStr">
        <is>
          <t>Overskrift</t>
        </is>
      </c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</row>
    <row r="89">
      <c r="A89" s="2" t="n">
        <v>5110</v>
      </c>
      <c r="B89" s="2" t="inlineStr">
        <is>
          <t>Udviklingsprojekter</t>
        </is>
      </c>
      <c r="C89" s="3" t="inlineStr">
        <is>
          <t>Status</t>
        </is>
      </c>
      <c r="F89" s="8" t="n">
        <v>420000</v>
      </c>
      <c r="G89" s="8" t="n">
        <v>3600</v>
      </c>
      <c r="H89" s="8" t="n">
        <v>9900</v>
      </c>
      <c r="I89" s="8" t="n">
        <v>-3500</v>
      </c>
      <c r="J89" s="8" t="n">
        <v>8000</v>
      </c>
      <c r="K89" s="8" t="n">
        <v>-5400</v>
      </c>
      <c r="L89" s="8" t="n">
        <v>7400</v>
      </c>
      <c r="M89" s="8" t="n">
        <v>-3200</v>
      </c>
      <c r="N89" s="8" t="n">
        <v>3200</v>
      </c>
      <c r="O89" s="9">
        <f>SUM(F89:N89)</f>
        <v/>
      </c>
    </row>
    <row r="90">
      <c r="A90" s="2" t="n">
        <v>5115</v>
      </c>
      <c r="B90" s="2" t="inlineStr">
        <is>
          <t>Software</t>
        </is>
      </c>
      <c r="C90" s="3" t="inlineStr">
        <is>
          <t>Status</t>
        </is>
      </c>
      <c r="F90" s="8" t="n">
        <v>180000</v>
      </c>
      <c r="G90" s="8" t="n">
        <v>-5600</v>
      </c>
      <c r="H90" s="8" t="n">
        <v>1000</v>
      </c>
      <c r="I90" s="8" t="n">
        <v>-5400</v>
      </c>
      <c r="J90" s="8" t="n">
        <v>-4000</v>
      </c>
      <c r="K90" s="8" t="n">
        <v>1300</v>
      </c>
      <c r="L90" s="8" t="n">
        <v>-2300</v>
      </c>
      <c r="M90" s="8" t="n">
        <v>-200</v>
      </c>
      <c r="N90" s="8" t="n">
        <v>-4800</v>
      </c>
      <c r="O90" s="9">
        <f>SUM(F90:N90)</f>
        <v/>
      </c>
    </row>
    <row r="91">
      <c r="A91" s="2" t="n">
        <v>5120</v>
      </c>
      <c r="B91" s="2" t="inlineStr">
        <is>
          <t>Grunde og bygninger</t>
        </is>
      </c>
      <c r="C91" s="3" t="inlineStr">
        <is>
          <t>Status</t>
        </is>
      </c>
      <c r="F91" s="8" t="n">
        <v>2400000</v>
      </c>
      <c r="G91" s="8" t="n">
        <v>-35100</v>
      </c>
      <c r="H91" s="8" t="n">
        <v>24200</v>
      </c>
      <c r="I91" s="8" t="n">
        <v>-4100</v>
      </c>
      <c r="J91" s="8" t="n">
        <v>38800</v>
      </c>
      <c r="K91" s="8" t="n">
        <v>-57200</v>
      </c>
      <c r="L91" s="8" t="n">
        <v>3400</v>
      </c>
      <c r="M91" s="8" t="n">
        <v>36000</v>
      </c>
      <c r="N91" s="8" t="n">
        <v>-46000</v>
      </c>
      <c r="O91" s="9">
        <f>SUM(F91:N91)</f>
        <v/>
      </c>
    </row>
    <row r="92">
      <c r="A92" s="2" t="n">
        <v>5130</v>
      </c>
      <c r="B92" s="2" t="inlineStr">
        <is>
          <t>Produktionsanlæg og maskiner</t>
        </is>
      </c>
      <c r="C92" s="3" t="inlineStr">
        <is>
          <t>Status</t>
        </is>
      </c>
      <c r="F92" s="8" t="n">
        <v>2500000</v>
      </c>
      <c r="G92" s="8" t="n">
        <v>78800</v>
      </c>
      <c r="H92" s="8" t="n">
        <v>-15100</v>
      </c>
      <c r="I92" s="8" t="n">
        <v>61300</v>
      </c>
      <c r="J92" s="8" t="n">
        <v>75000</v>
      </c>
      <c r="K92" s="8" t="n">
        <v>-31000</v>
      </c>
      <c r="L92" s="8" t="n">
        <v>61000</v>
      </c>
      <c r="M92" s="8" t="n">
        <v>2300</v>
      </c>
      <c r="N92" s="8" t="n">
        <v>82700</v>
      </c>
      <c r="O92" s="9">
        <f>SUM(F92:N92)</f>
        <v/>
      </c>
    </row>
    <row r="93">
      <c r="A93" s="2" t="n">
        <v>5140</v>
      </c>
      <c r="B93" s="2" t="inlineStr">
        <is>
          <t>Driftsmateriel og inventar</t>
        </is>
      </c>
      <c r="C93" s="3" t="inlineStr">
        <is>
          <t>Status</t>
        </is>
      </c>
      <c r="F93" s="8" t="n">
        <v>400000</v>
      </c>
      <c r="G93" s="8" t="n">
        <v>-10600</v>
      </c>
      <c r="H93" s="8" t="n">
        <v>8700</v>
      </c>
      <c r="I93" s="8" t="n">
        <v>-8100</v>
      </c>
      <c r="J93" s="8" t="n">
        <v>8400</v>
      </c>
      <c r="K93" s="8" t="n">
        <v>2400</v>
      </c>
      <c r="L93" s="8" t="n">
        <v>-5800</v>
      </c>
      <c r="M93" s="8" t="n">
        <v>500</v>
      </c>
      <c r="N93" s="8" t="n">
        <v>-500</v>
      </c>
      <c r="O93" s="9">
        <f>SUM(F93:N93)</f>
        <v/>
      </c>
    </row>
    <row r="94">
      <c r="A94" s="2" t="n">
        <v>5150</v>
      </c>
      <c r="B94" s="2" t="inlineStr">
        <is>
          <t>Deposita</t>
        </is>
      </c>
      <c r="C94" s="3" t="inlineStr">
        <is>
          <t>Status</t>
        </is>
      </c>
      <c r="F94" s="8" t="n">
        <v>100000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0</v>
      </c>
      <c r="L94" s="8" t="n">
        <v>0</v>
      </c>
      <c r="M94" s="8" t="n">
        <v>0</v>
      </c>
      <c r="N94" s="8" t="n">
        <v>0</v>
      </c>
      <c r="O94" s="9">
        <f>SUM(F94:N94)</f>
        <v/>
      </c>
    </row>
    <row r="95">
      <c r="A95" s="10" t="n">
        <v>5199</v>
      </c>
      <c r="B95" s="10" t="inlineStr">
        <is>
          <t>Anlægsaktiver i alt</t>
        </is>
      </c>
      <c r="C95" s="11" t="inlineStr">
        <is>
          <t>Sum</t>
        </is>
      </c>
      <c r="D95" s="11" t="n">
        <v>5100</v>
      </c>
      <c r="E95" s="11" t="n">
        <v>5198</v>
      </c>
      <c r="F95" s="12">
        <f>SUMIFS(F$7:F94,$A$7:$A94,"&gt;="&amp;$D95,$A$7:$A94,"&lt;="&amp;$E95,$C$7:$C94,"&lt;&gt;Sum")</f>
        <v/>
      </c>
      <c r="G95" s="12">
        <f>SUMIFS(G$7:G94,$A$7:$A94,"&gt;="&amp;$D95,$A$7:$A94,"&lt;="&amp;$E95,$C$7:$C94,"&lt;&gt;Sum")</f>
        <v/>
      </c>
      <c r="H95" s="12">
        <f>SUMIFS(H$7:H94,$A$7:$A94,"&gt;="&amp;$D95,$A$7:$A94,"&lt;="&amp;$E95,$C$7:$C94,"&lt;&gt;Sum")</f>
        <v/>
      </c>
      <c r="I95" s="12">
        <f>SUMIFS(I$7:I94,$A$7:$A94,"&gt;="&amp;$D95,$A$7:$A94,"&lt;="&amp;$E95,$C$7:$C94,"&lt;&gt;Sum")</f>
        <v/>
      </c>
      <c r="J95" s="12">
        <f>SUMIFS(J$7:J94,$A$7:$A94,"&gt;="&amp;$D95,$A$7:$A94,"&lt;="&amp;$E95,$C$7:$C94,"&lt;&gt;Sum")</f>
        <v/>
      </c>
      <c r="K95" s="12">
        <f>SUMIFS(K$7:K94,$A$7:$A94,"&gt;="&amp;$D95,$A$7:$A94,"&lt;="&amp;$E95,$C$7:$C94,"&lt;&gt;Sum")</f>
        <v/>
      </c>
      <c r="L95" s="12">
        <f>SUMIFS(L$7:L94,$A$7:$A94,"&gt;="&amp;$D95,$A$7:$A94,"&lt;="&amp;$E95,$C$7:$C94,"&lt;&gt;Sum")</f>
        <v/>
      </c>
      <c r="M95" s="12">
        <f>SUMIFS(M$7:M94,$A$7:$A94,"&gt;="&amp;$D95,$A$7:$A94,"&lt;="&amp;$E95,$C$7:$C94,"&lt;&gt;Sum")</f>
        <v/>
      </c>
      <c r="N95" s="12">
        <f>SUMIFS(N$7:N94,$A$7:$A94,"&gt;="&amp;$D95,$A$7:$A94,"&lt;="&amp;$E95,$C$7:$C94,"&lt;&gt;Sum")</f>
        <v/>
      </c>
      <c r="O95" s="12">
        <f>SUM(F95:N95)</f>
        <v/>
      </c>
    </row>
    <row r="96">
      <c r="A96" s="6" t="n">
        <v>5200</v>
      </c>
      <c r="B96" s="6" t="inlineStr">
        <is>
          <t>Omsætningsaktiver</t>
        </is>
      </c>
      <c r="C96" s="3" t="inlineStr">
        <is>
          <t>Overskrift</t>
        </is>
      </c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</row>
    <row r="97">
      <c r="A97" s="2" t="n">
        <v>5210</v>
      </c>
      <c r="B97" s="2" t="inlineStr">
        <is>
          <t>Råvarer og hjælpematerialer</t>
        </is>
      </c>
      <c r="C97" s="3" t="inlineStr">
        <is>
          <t>Status</t>
        </is>
      </c>
      <c r="F97" s="8" t="n">
        <v>1600000</v>
      </c>
      <c r="G97" s="8" t="n">
        <v>-11500</v>
      </c>
      <c r="H97" s="8" t="n">
        <v>16500</v>
      </c>
      <c r="I97" s="8" t="n">
        <v>45000</v>
      </c>
      <c r="J97" s="8" t="n">
        <v>3600</v>
      </c>
      <c r="K97" s="8" t="n">
        <v>8400</v>
      </c>
      <c r="L97" s="8" t="n">
        <v>38000</v>
      </c>
      <c r="M97" s="8" t="n">
        <v>83600</v>
      </c>
      <c r="N97" s="8" t="n">
        <v>16400</v>
      </c>
      <c r="O97" s="9">
        <f>SUM(F97:N97)</f>
        <v/>
      </c>
    </row>
    <row r="98">
      <c r="A98" s="2" t="n">
        <v>5220</v>
      </c>
      <c r="B98" s="2" t="inlineStr">
        <is>
          <t>Varer under fremstilling</t>
        </is>
      </c>
      <c r="C98" s="3" t="inlineStr">
        <is>
          <t>Status</t>
        </is>
      </c>
      <c r="F98" s="8" t="n">
        <v>700000</v>
      </c>
      <c r="G98" s="8" t="n">
        <v>17800</v>
      </c>
      <c r="H98" s="8" t="n">
        <v>9000</v>
      </c>
      <c r="I98" s="8" t="n">
        <v>-6800</v>
      </c>
      <c r="J98" s="8" t="n">
        <v>7400</v>
      </c>
      <c r="K98" s="8" t="n">
        <v>-300</v>
      </c>
      <c r="L98" s="8" t="n">
        <v>22900</v>
      </c>
      <c r="M98" s="8" t="n">
        <v>57800</v>
      </c>
      <c r="N98" s="8" t="n">
        <v>42200</v>
      </c>
      <c r="O98" s="9">
        <f>SUM(F98:N98)</f>
        <v/>
      </c>
    </row>
    <row r="99">
      <c r="A99" s="2" t="n">
        <v>5230</v>
      </c>
      <c r="B99" s="2" t="inlineStr">
        <is>
          <t>Færdigvarer</t>
        </is>
      </c>
      <c r="C99" s="3" t="inlineStr">
        <is>
          <t>Status</t>
        </is>
      </c>
      <c r="F99" s="8" t="n">
        <v>900000</v>
      </c>
      <c r="G99" s="8" t="n">
        <v>2600</v>
      </c>
      <c r="H99" s="8" t="n">
        <v>-16700</v>
      </c>
      <c r="I99" s="8" t="n">
        <v>-5900</v>
      </c>
      <c r="J99" s="8" t="n">
        <v>10100</v>
      </c>
      <c r="K99" s="8" t="n">
        <v>7000</v>
      </c>
      <c r="L99" s="8" t="n">
        <v>2900</v>
      </c>
      <c r="M99" s="8" t="n">
        <v>27500</v>
      </c>
      <c r="N99" s="8" t="n">
        <v>22500</v>
      </c>
      <c r="O99" s="9">
        <f>SUM(F99:N99)</f>
        <v/>
      </c>
    </row>
    <row r="100">
      <c r="A100" s="2" t="n">
        <v>5300</v>
      </c>
      <c r="B100" s="2" t="inlineStr">
        <is>
          <t>Debitorer</t>
        </is>
      </c>
      <c r="C100" s="3" t="inlineStr">
        <is>
          <t>Status</t>
        </is>
      </c>
      <c r="F100" s="8" t="n">
        <v>2550000</v>
      </c>
      <c r="G100" s="8" t="n">
        <v>4900</v>
      </c>
      <c r="H100" s="8" t="n">
        <v>49900</v>
      </c>
      <c r="I100" s="8" t="n">
        <v>25200</v>
      </c>
      <c r="J100" s="8" t="n">
        <v>31700</v>
      </c>
      <c r="K100" s="8" t="n">
        <v>11700</v>
      </c>
      <c r="L100" s="8" t="n">
        <v>26600</v>
      </c>
      <c r="M100" s="8" t="n">
        <v>97800</v>
      </c>
      <c r="N100" s="8" t="n">
        <v>102200</v>
      </c>
      <c r="O100" s="9">
        <f>SUM(F100:N100)</f>
        <v/>
      </c>
    </row>
    <row r="101">
      <c r="A101" s="2" t="n">
        <v>5310</v>
      </c>
      <c r="B101" s="2" t="inlineStr">
        <is>
          <t>Andre tilgodehavender</t>
        </is>
      </c>
      <c r="C101" s="3" t="inlineStr">
        <is>
          <t>Status</t>
        </is>
      </c>
      <c r="F101" s="8" t="n">
        <v>200000</v>
      </c>
      <c r="G101" s="8" t="n">
        <v>3000</v>
      </c>
      <c r="H101" s="8" t="n">
        <v>12500</v>
      </c>
      <c r="I101" s="8" t="n">
        <v>4500</v>
      </c>
      <c r="J101" s="8" t="n">
        <v>-4000</v>
      </c>
      <c r="K101" s="8" t="n">
        <v>1600</v>
      </c>
      <c r="L101" s="8" t="n">
        <v>-7600</v>
      </c>
      <c r="M101" s="8" t="n">
        <v>3900</v>
      </c>
      <c r="N101" s="8" t="n">
        <v>6100</v>
      </c>
      <c r="O101" s="9">
        <f>SUM(F101:N101)</f>
        <v/>
      </c>
    </row>
    <row r="102">
      <c r="A102" s="2" t="n">
        <v>5320</v>
      </c>
      <c r="B102" s="2" t="inlineStr">
        <is>
          <t>Forudbetalte omkostninger</t>
        </is>
      </c>
      <c r="C102" s="3" t="inlineStr">
        <is>
          <t>Status</t>
        </is>
      </c>
      <c r="F102" s="8" t="n">
        <v>150000</v>
      </c>
      <c r="G102" s="8" t="n">
        <v>3400</v>
      </c>
      <c r="H102" s="8" t="n">
        <v>5900</v>
      </c>
      <c r="I102" s="8" t="n">
        <v>700</v>
      </c>
      <c r="J102" s="8" t="n">
        <v>2300</v>
      </c>
      <c r="K102" s="8" t="n">
        <v>1500</v>
      </c>
      <c r="L102" s="8" t="n">
        <v>6200</v>
      </c>
      <c r="M102" s="8" t="n">
        <v>-3000</v>
      </c>
      <c r="N102" s="8" t="n">
        <v>3000</v>
      </c>
      <c r="O102" s="9">
        <f>SUM(F102:N102)</f>
        <v/>
      </c>
    </row>
    <row r="103">
      <c r="A103" s="2" t="n">
        <v>5400</v>
      </c>
      <c r="B103" s="2" t="inlineStr">
        <is>
          <t>Bank</t>
        </is>
      </c>
      <c r="C103" s="3" t="inlineStr">
        <is>
          <t>Status</t>
        </is>
      </c>
      <c r="F103" s="8" t="n">
        <v>1890000</v>
      </c>
      <c r="G103" s="8" t="n">
        <v>-48982</v>
      </c>
      <c r="H103" s="8" t="n">
        <v>-144440</v>
      </c>
      <c r="I103" s="8" t="n">
        <v>293422</v>
      </c>
      <c r="J103" s="8" t="n">
        <v>-207686</v>
      </c>
      <c r="K103" s="8" t="n">
        <v>290822</v>
      </c>
      <c r="L103" s="8" t="n">
        <v>66864</v>
      </c>
      <c r="M103" s="8" t="n">
        <v>-378181</v>
      </c>
      <c r="N103" s="8" t="n">
        <v>308181</v>
      </c>
      <c r="O103" s="9">
        <f>SUM(F103:N103)</f>
        <v/>
      </c>
    </row>
    <row r="104">
      <c r="A104" s="2" t="n">
        <v>5410</v>
      </c>
      <c r="B104" s="2" t="inlineStr">
        <is>
          <t>Kasse</t>
        </is>
      </c>
      <c r="C104" s="3" t="inlineStr">
        <is>
          <t>Status</t>
        </is>
      </c>
      <c r="F104" s="8" t="n">
        <v>10000</v>
      </c>
      <c r="G104" s="8" t="n">
        <v>-100</v>
      </c>
      <c r="H104" s="8" t="n">
        <v>0</v>
      </c>
      <c r="I104" s="8" t="n">
        <v>100</v>
      </c>
      <c r="J104" s="8" t="n">
        <v>-200</v>
      </c>
      <c r="K104" s="8" t="n">
        <v>300</v>
      </c>
      <c r="L104" s="8" t="n">
        <v>-100</v>
      </c>
      <c r="M104" s="8" t="n">
        <v>-100</v>
      </c>
      <c r="N104" s="8" t="n">
        <v>100</v>
      </c>
      <c r="O104" s="9">
        <f>SUM(F104:N104)</f>
        <v/>
      </c>
    </row>
    <row r="105">
      <c r="A105" s="10" t="n">
        <v>5499</v>
      </c>
      <c r="B105" s="10" t="inlineStr">
        <is>
          <t>Omsætningsaktiver i alt</t>
        </is>
      </c>
      <c r="C105" s="11" t="inlineStr">
        <is>
          <t>Sum</t>
        </is>
      </c>
      <c r="D105" s="11" t="n">
        <v>5200</v>
      </c>
      <c r="E105" s="11" t="n">
        <v>5498</v>
      </c>
      <c r="F105" s="12">
        <f>SUMIFS(F$7:F104,$A$7:$A104,"&gt;="&amp;$D105,$A$7:$A104,"&lt;="&amp;$E105,$C$7:$C104,"&lt;&gt;Sum")</f>
        <v/>
      </c>
      <c r="G105" s="12">
        <f>SUMIFS(G$7:G104,$A$7:$A104,"&gt;="&amp;$D105,$A$7:$A104,"&lt;="&amp;$E105,$C$7:$C104,"&lt;&gt;Sum")</f>
        <v/>
      </c>
      <c r="H105" s="12">
        <f>SUMIFS(H$7:H104,$A$7:$A104,"&gt;="&amp;$D105,$A$7:$A104,"&lt;="&amp;$E105,$C$7:$C104,"&lt;&gt;Sum")</f>
        <v/>
      </c>
      <c r="I105" s="12">
        <f>SUMIFS(I$7:I104,$A$7:$A104,"&gt;="&amp;$D105,$A$7:$A104,"&lt;="&amp;$E105,$C$7:$C104,"&lt;&gt;Sum")</f>
        <v/>
      </c>
      <c r="J105" s="12">
        <f>SUMIFS(J$7:J104,$A$7:$A104,"&gt;="&amp;$D105,$A$7:$A104,"&lt;="&amp;$E105,$C$7:$C104,"&lt;&gt;Sum")</f>
        <v/>
      </c>
      <c r="K105" s="12">
        <f>SUMIFS(K$7:K104,$A$7:$A104,"&gt;="&amp;$D105,$A$7:$A104,"&lt;="&amp;$E105,$C$7:$C104,"&lt;&gt;Sum")</f>
        <v/>
      </c>
      <c r="L105" s="12">
        <f>SUMIFS(L$7:L104,$A$7:$A104,"&gt;="&amp;$D105,$A$7:$A104,"&lt;="&amp;$E105,$C$7:$C104,"&lt;&gt;Sum")</f>
        <v/>
      </c>
      <c r="M105" s="12">
        <f>SUMIFS(M$7:M104,$A$7:$A104,"&gt;="&amp;$D105,$A$7:$A104,"&lt;="&amp;$E105,$C$7:$C104,"&lt;&gt;Sum")</f>
        <v/>
      </c>
      <c r="N105" s="12">
        <f>SUMIFS(N$7:N104,$A$7:$A104,"&gt;="&amp;$D105,$A$7:$A104,"&lt;="&amp;$E105,$C$7:$C104,"&lt;&gt;Sum")</f>
        <v/>
      </c>
      <c r="O105" s="12">
        <f>SUM(F105:N105)</f>
        <v/>
      </c>
    </row>
    <row r="106">
      <c r="A106" s="10" t="n">
        <v>5500</v>
      </c>
      <c r="B106" s="10" t="inlineStr">
        <is>
          <t>AKTIVER I ALT</t>
        </is>
      </c>
      <c r="C106" s="11" t="inlineStr">
        <is>
          <t>Sum</t>
        </is>
      </c>
      <c r="D106" s="11" t="n">
        <v>5000</v>
      </c>
      <c r="E106" s="11" t="n">
        <v>5499</v>
      </c>
      <c r="F106" s="12">
        <f>SUMIFS(F$7:F105,$A$7:$A105,"&gt;="&amp;$D106,$A$7:$A105,"&lt;="&amp;$E106,$C$7:$C105,"&lt;&gt;Sum")</f>
        <v/>
      </c>
      <c r="G106" s="12">
        <f>SUMIFS(G$7:G105,$A$7:$A105,"&gt;="&amp;$D106,$A$7:$A105,"&lt;="&amp;$E106,$C$7:$C105,"&lt;&gt;Sum")</f>
        <v/>
      </c>
      <c r="H106" s="12">
        <f>SUMIFS(H$7:H105,$A$7:$A105,"&gt;="&amp;$D106,$A$7:$A105,"&lt;="&amp;$E106,$C$7:$C105,"&lt;&gt;Sum")</f>
        <v/>
      </c>
      <c r="I106" s="12">
        <f>SUMIFS(I$7:I105,$A$7:$A105,"&gt;="&amp;$D106,$A$7:$A105,"&lt;="&amp;$E106,$C$7:$C105,"&lt;&gt;Sum")</f>
        <v/>
      </c>
      <c r="J106" s="12">
        <f>SUMIFS(J$7:J105,$A$7:$A105,"&gt;="&amp;$D106,$A$7:$A105,"&lt;="&amp;$E106,$C$7:$C105,"&lt;&gt;Sum")</f>
        <v/>
      </c>
      <c r="K106" s="12">
        <f>SUMIFS(K$7:K105,$A$7:$A105,"&gt;="&amp;$D106,$A$7:$A105,"&lt;="&amp;$E106,$C$7:$C105,"&lt;&gt;Sum")</f>
        <v/>
      </c>
      <c r="L106" s="12">
        <f>SUMIFS(L$7:L105,$A$7:$A105,"&gt;="&amp;$D106,$A$7:$A105,"&lt;="&amp;$E106,$C$7:$C105,"&lt;&gt;Sum")</f>
        <v/>
      </c>
      <c r="M106" s="12">
        <f>SUMIFS(M$7:M105,$A$7:$A105,"&gt;="&amp;$D106,$A$7:$A105,"&lt;="&amp;$E106,$C$7:$C105,"&lt;&gt;Sum")</f>
        <v/>
      </c>
      <c r="N106" s="12">
        <f>SUMIFS(N$7:N105,$A$7:$A105,"&gt;="&amp;$D106,$A$7:$A105,"&lt;="&amp;$E106,$C$7:$C105,"&lt;&gt;Sum")</f>
        <v/>
      </c>
      <c r="O106" s="12">
        <f>SUM(F106:N106)</f>
        <v/>
      </c>
    </row>
    <row r="107">
      <c r="A107" s="6" t="n">
        <v>6000</v>
      </c>
      <c r="B107" s="6" t="inlineStr">
        <is>
          <t>PASSIVER</t>
        </is>
      </c>
      <c r="C107" s="3" t="inlineStr">
        <is>
          <t>Overskrift</t>
        </is>
      </c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</row>
    <row r="108">
      <c r="A108" s="6" t="n">
        <v>6100</v>
      </c>
      <c r="B108" s="6" t="inlineStr">
        <is>
          <t>Egenkapital</t>
        </is>
      </c>
      <c r="C108" s="3" t="inlineStr">
        <is>
          <t>Overskrift</t>
        </is>
      </c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</row>
    <row r="109">
      <c r="A109" s="2" t="n">
        <v>6110</v>
      </c>
      <c r="B109" s="2" t="inlineStr">
        <is>
          <t>Selskabskapital</t>
        </is>
      </c>
      <c r="C109" s="3" t="inlineStr">
        <is>
          <t>Status</t>
        </is>
      </c>
      <c r="F109" s="8" t="n">
        <v>-1000000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0</v>
      </c>
      <c r="M109" s="8" t="n">
        <v>0</v>
      </c>
      <c r="N109" s="8" t="n">
        <v>0</v>
      </c>
      <c r="O109" s="9">
        <f>SUM(F109:N109)</f>
        <v/>
      </c>
    </row>
    <row r="110">
      <c r="A110" s="2" t="n">
        <v>6120</v>
      </c>
      <c r="B110" s="2" t="inlineStr">
        <is>
          <t>Overført resultat</t>
        </is>
      </c>
      <c r="C110" s="3" t="inlineStr">
        <is>
          <t>Status</t>
        </is>
      </c>
      <c r="F110" s="8" t="n">
        <v>-5200000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0</v>
      </c>
      <c r="L110" s="8" t="n">
        <v>0</v>
      </c>
      <c r="M110" s="8" t="n">
        <v>0</v>
      </c>
      <c r="N110" s="8" t="n">
        <v>0</v>
      </c>
      <c r="O110" s="9">
        <f>SUM(F110:N110)</f>
        <v/>
      </c>
    </row>
    <row r="111">
      <c r="A111" s="10" t="n">
        <v>6130</v>
      </c>
      <c r="B111" s="10" t="inlineStr">
        <is>
          <t>Egenkapital i alt</t>
        </is>
      </c>
      <c r="C111" s="11" t="inlineStr">
        <is>
          <t>Sum</t>
        </is>
      </c>
      <c r="D111" s="11" t="n">
        <v>6100</v>
      </c>
      <c r="E111" s="11" t="n">
        <v>6129</v>
      </c>
      <c r="F111" s="12">
        <f>SUMIFS(F$7:F110,$A$7:$A110,"&gt;="&amp;$D111,$A$7:$A110,"&lt;="&amp;$E111,$C$7:$C110,"&lt;&gt;Sum")</f>
        <v/>
      </c>
      <c r="G111" s="12">
        <f>SUMIFS(G$7:G110,$A$7:$A110,"&gt;="&amp;$D111,$A$7:$A110,"&lt;="&amp;$E111,$C$7:$C110,"&lt;&gt;Sum")</f>
        <v/>
      </c>
      <c r="H111" s="12">
        <f>SUMIFS(H$7:H110,$A$7:$A110,"&gt;="&amp;$D111,$A$7:$A110,"&lt;="&amp;$E111,$C$7:$C110,"&lt;&gt;Sum")</f>
        <v/>
      </c>
      <c r="I111" s="12">
        <f>SUMIFS(I$7:I110,$A$7:$A110,"&gt;="&amp;$D111,$A$7:$A110,"&lt;="&amp;$E111,$C$7:$C110,"&lt;&gt;Sum")</f>
        <v/>
      </c>
      <c r="J111" s="12">
        <f>SUMIFS(J$7:J110,$A$7:$A110,"&gt;="&amp;$D111,$A$7:$A110,"&lt;="&amp;$E111,$C$7:$C110,"&lt;&gt;Sum")</f>
        <v/>
      </c>
      <c r="K111" s="12">
        <f>SUMIFS(K$7:K110,$A$7:$A110,"&gt;="&amp;$D111,$A$7:$A110,"&lt;="&amp;$E111,$C$7:$C110,"&lt;&gt;Sum")</f>
        <v/>
      </c>
      <c r="L111" s="12">
        <f>SUMIFS(L$7:L110,$A$7:$A110,"&gt;="&amp;$D111,$A$7:$A110,"&lt;="&amp;$E111,$C$7:$C110,"&lt;&gt;Sum")</f>
        <v/>
      </c>
      <c r="M111" s="12">
        <f>SUMIFS(M$7:M110,$A$7:$A110,"&gt;="&amp;$D111,$A$7:$A110,"&lt;="&amp;$E111,$C$7:$C110,"&lt;&gt;Sum")</f>
        <v/>
      </c>
      <c r="N111" s="12">
        <f>SUMIFS(N$7:N110,$A$7:$A110,"&gt;="&amp;$D111,$A$7:$A110,"&lt;="&amp;$E111,$C$7:$C110,"&lt;&gt;Sum")</f>
        <v/>
      </c>
      <c r="O111" s="12">
        <f>SUM(F111:N111)</f>
        <v/>
      </c>
    </row>
    <row r="112">
      <c r="A112" s="6" t="n">
        <v>6140</v>
      </c>
      <c r="B112" s="6" t="inlineStr">
        <is>
          <t>Hensatte forpligtelser</t>
        </is>
      </c>
      <c r="C112" s="3" t="inlineStr">
        <is>
          <t>Overskrift</t>
        </is>
      </c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</row>
    <row r="113">
      <c r="A113" s="2" t="n">
        <v>6150</v>
      </c>
      <c r="B113" s="2" t="inlineStr">
        <is>
          <t>Udskudt skat</t>
        </is>
      </c>
      <c r="C113" s="3" t="inlineStr">
        <is>
          <t>Status</t>
        </is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9">
        <f>SUM(F113:N113)</f>
        <v/>
      </c>
    </row>
    <row r="114">
      <c r="A114" s="6" t="n">
        <v>6200</v>
      </c>
      <c r="B114" s="6" t="inlineStr">
        <is>
          <t>Langfristet gæld</t>
        </is>
      </c>
      <c r="C114" s="3" t="inlineStr">
        <is>
          <t>Overskrift</t>
        </is>
      </c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</row>
    <row r="115">
      <c r="A115" s="2" t="n">
        <v>6210</v>
      </c>
      <c r="B115" s="2" t="inlineStr">
        <is>
          <t>Realkreditlån</t>
        </is>
      </c>
      <c r="C115" s="3" t="inlineStr">
        <is>
          <t>Status</t>
        </is>
      </c>
      <c r="F115" s="8" t="n">
        <v>-1900000</v>
      </c>
      <c r="G115" s="8" t="n">
        <v>33800</v>
      </c>
      <c r="H115" s="8" t="n">
        <v>-23700</v>
      </c>
      <c r="I115" s="8" t="n">
        <v>19900</v>
      </c>
      <c r="J115" s="8" t="n">
        <v>3400</v>
      </c>
      <c r="K115" s="8" t="n">
        <v>43400</v>
      </c>
      <c r="L115" s="8" t="n">
        <v>-16800</v>
      </c>
      <c r="M115" s="8" t="n">
        <v>22100</v>
      </c>
      <c r="N115" s="8" t="n">
        <v>-2100</v>
      </c>
      <c r="O115" s="9">
        <f>SUM(F115:N115)</f>
        <v/>
      </c>
    </row>
    <row r="116">
      <c r="A116" s="2" t="n">
        <v>6220</v>
      </c>
      <c r="B116" s="2" t="inlineStr">
        <is>
          <t>Banklån</t>
        </is>
      </c>
      <c r="C116" s="3" t="inlineStr">
        <is>
          <t>Status</t>
        </is>
      </c>
      <c r="F116" s="8" t="n">
        <v>-1550000</v>
      </c>
      <c r="G116" s="8" t="n">
        <v>20700</v>
      </c>
      <c r="H116" s="8" t="n">
        <v>10700</v>
      </c>
      <c r="I116" s="8" t="n">
        <v>18600</v>
      </c>
      <c r="J116" s="8" t="n">
        <v>44400</v>
      </c>
      <c r="K116" s="8" t="n">
        <v>-9300</v>
      </c>
      <c r="L116" s="8" t="n">
        <v>14900</v>
      </c>
      <c r="M116" s="8" t="n">
        <v>33100</v>
      </c>
      <c r="N116" s="8" t="n">
        <v>-3100</v>
      </c>
      <c r="O116" s="9">
        <f>SUM(F116:N116)</f>
        <v/>
      </c>
    </row>
    <row r="117">
      <c r="A117" s="2" t="n">
        <v>6230</v>
      </c>
      <c r="B117" s="2" t="inlineStr">
        <is>
          <t>Leasingforpligtelser</t>
        </is>
      </c>
      <c r="C117" s="3" t="inlineStr">
        <is>
          <t>Status</t>
        </is>
      </c>
      <c r="F117" s="8" t="n">
        <v>-650000</v>
      </c>
      <c r="G117" s="8" t="n">
        <v>15000</v>
      </c>
      <c r="H117" s="8" t="n">
        <v>-5300</v>
      </c>
      <c r="I117" s="8" t="n">
        <v>10300</v>
      </c>
      <c r="J117" s="8" t="n">
        <v>-20300</v>
      </c>
      <c r="K117" s="8" t="n">
        <v>-27100</v>
      </c>
      <c r="L117" s="8" t="n">
        <v>-32600</v>
      </c>
      <c r="M117" s="8" t="n">
        <v>11100</v>
      </c>
      <c r="N117" s="8" t="n">
        <v>-11100</v>
      </c>
      <c r="O117" s="9">
        <f>SUM(F117:N117)</f>
        <v/>
      </c>
    </row>
    <row r="118">
      <c r="A118" s="2" t="n">
        <v>6240</v>
      </c>
      <c r="B118" s="2" t="inlineStr">
        <is>
          <t>Lån fra ejer</t>
        </is>
      </c>
      <c r="C118" s="3" t="inlineStr">
        <is>
          <t>Status</t>
        </is>
      </c>
      <c r="F118" s="8" t="n">
        <v>-500000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0</v>
      </c>
      <c r="L118" s="8" t="n">
        <v>0</v>
      </c>
      <c r="M118" s="8" t="n">
        <v>0</v>
      </c>
      <c r="N118" s="8" t="n">
        <v>0</v>
      </c>
      <c r="O118" s="9">
        <f>SUM(F118:N118)</f>
        <v/>
      </c>
    </row>
    <row r="119">
      <c r="A119" s="10" t="n">
        <v>6299</v>
      </c>
      <c r="B119" s="10" t="inlineStr">
        <is>
          <t>Langfristet gæld i alt</t>
        </is>
      </c>
      <c r="C119" s="11" t="inlineStr">
        <is>
          <t>Sum</t>
        </is>
      </c>
      <c r="D119" s="11" t="n">
        <v>6200</v>
      </c>
      <c r="E119" s="11" t="n">
        <v>6298</v>
      </c>
      <c r="F119" s="12">
        <f>SUMIFS(F$7:F118,$A$7:$A118,"&gt;="&amp;$D119,$A$7:$A118,"&lt;="&amp;$E119,$C$7:$C118,"&lt;&gt;Sum")</f>
        <v/>
      </c>
      <c r="G119" s="12">
        <f>SUMIFS(G$7:G118,$A$7:$A118,"&gt;="&amp;$D119,$A$7:$A118,"&lt;="&amp;$E119,$C$7:$C118,"&lt;&gt;Sum")</f>
        <v/>
      </c>
      <c r="H119" s="12">
        <f>SUMIFS(H$7:H118,$A$7:$A118,"&gt;="&amp;$D119,$A$7:$A118,"&lt;="&amp;$E119,$C$7:$C118,"&lt;&gt;Sum")</f>
        <v/>
      </c>
      <c r="I119" s="12">
        <f>SUMIFS(I$7:I118,$A$7:$A118,"&gt;="&amp;$D119,$A$7:$A118,"&lt;="&amp;$E119,$C$7:$C118,"&lt;&gt;Sum")</f>
        <v/>
      </c>
      <c r="J119" s="12">
        <f>SUMIFS(J$7:J118,$A$7:$A118,"&gt;="&amp;$D119,$A$7:$A118,"&lt;="&amp;$E119,$C$7:$C118,"&lt;&gt;Sum")</f>
        <v/>
      </c>
      <c r="K119" s="12">
        <f>SUMIFS(K$7:K118,$A$7:$A118,"&gt;="&amp;$D119,$A$7:$A118,"&lt;="&amp;$E119,$C$7:$C118,"&lt;&gt;Sum")</f>
        <v/>
      </c>
      <c r="L119" s="12">
        <f>SUMIFS(L$7:L118,$A$7:$A118,"&gt;="&amp;$D119,$A$7:$A118,"&lt;="&amp;$E119,$C$7:$C118,"&lt;&gt;Sum")</f>
        <v/>
      </c>
      <c r="M119" s="12">
        <f>SUMIFS(M$7:M118,$A$7:$A118,"&gt;="&amp;$D119,$A$7:$A118,"&lt;="&amp;$E119,$C$7:$C118,"&lt;&gt;Sum")</f>
        <v/>
      </c>
      <c r="N119" s="12">
        <f>SUMIFS(N$7:N118,$A$7:$A118,"&gt;="&amp;$D119,$A$7:$A118,"&lt;="&amp;$E119,$C$7:$C118,"&lt;&gt;Sum")</f>
        <v/>
      </c>
      <c r="O119" s="12">
        <f>SUM(F119:N119)</f>
        <v/>
      </c>
    </row>
    <row r="120">
      <c r="A120" s="6" t="n">
        <v>6300</v>
      </c>
      <c r="B120" s="6" t="inlineStr">
        <is>
          <t>Kortfristet gæld</t>
        </is>
      </c>
      <c r="C120" s="3" t="inlineStr">
        <is>
          <t>Overskrift</t>
        </is>
      </c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</row>
    <row r="121">
      <c r="A121" s="2" t="n">
        <v>6310</v>
      </c>
      <c r="B121" s="2" t="inlineStr">
        <is>
          <t>Kassekredit</t>
        </is>
      </c>
      <c r="C121" s="3" t="inlineStr">
        <is>
          <t>Status</t>
        </is>
      </c>
      <c r="F121" s="8" t="n">
        <v>-450000</v>
      </c>
      <c r="G121" s="8" t="n">
        <v>-32300</v>
      </c>
      <c r="H121" s="8" t="n">
        <v>-6400</v>
      </c>
      <c r="I121" s="8" t="n">
        <v>-31300</v>
      </c>
      <c r="J121" s="8" t="n">
        <v>18700</v>
      </c>
      <c r="K121" s="8" t="n">
        <v>7300</v>
      </c>
      <c r="L121" s="8" t="n">
        <v>14000</v>
      </c>
      <c r="M121" s="8" t="n">
        <v>-56300</v>
      </c>
      <c r="N121" s="8" t="n">
        <v>-63700</v>
      </c>
      <c r="O121" s="9">
        <f>SUM(F121:N121)</f>
        <v/>
      </c>
    </row>
    <row r="122">
      <c r="A122" s="2" t="n">
        <v>6320</v>
      </c>
      <c r="B122" s="2" t="inlineStr">
        <is>
          <t>Kortfristet del af langfristet gæld</t>
        </is>
      </c>
      <c r="C122" s="3" t="inlineStr">
        <is>
          <t>Status</t>
        </is>
      </c>
      <c r="F122" s="8" t="n">
        <v>-450000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0</v>
      </c>
      <c r="L122" s="8" t="n">
        <v>0</v>
      </c>
      <c r="M122" s="8" t="n">
        <v>0</v>
      </c>
      <c r="N122" s="8" t="n">
        <v>0</v>
      </c>
      <c r="O122" s="9">
        <f>SUM(F122:N122)</f>
        <v/>
      </c>
    </row>
    <row r="123">
      <c r="A123" s="2" t="n">
        <v>6330</v>
      </c>
      <c r="B123" s="2" t="inlineStr">
        <is>
          <t>Leverandører af varer og tjenesteydelser</t>
        </is>
      </c>
      <c r="C123" s="3" t="inlineStr">
        <is>
          <t>Status</t>
        </is>
      </c>
      <c r="F123" s="8" t="n">
        <v>-1300000</v>
      </c>
      <c r="G123" s="8" t="n">
        <v>-51400</v>
      </c>
      <c r="H123" s="8" t="n">
        <v>-42500</v>
      </c>
      <c r="I123" s="8" t="n">
        <v>-26100</v>
      </c>
      <c r="J123" s="8" t="n">
        <v>-46300</v>
      </c>
      <c r="K123" s="8" t="n">
        <v>9500</v>
      </c>
      <c r="L123" s="8" t="n">
        <v>-43200</v>
      </c>
      <c r="M123" s="8" t="n">
        <v>-85400</v>
      </c>
      <c r="N123" s="8" t="n">
        <v>-34600</v>
      </c>
      <c r="O123" s="9">
        <f>SUM(F123:N123)</f>
        <v/>
      </c>
    </row>
    <row r="124">
      <c r="A124" s="2" t="n">
        <v>6340</v>
      </c>
      <c r="B124" s="2" t="inlineStr">
        <is>
          <t>Forudbetalinger fra kunder</t>
        </is>
      </c>
      <c r="C124" s="3" t="inlineStr">
        <is>
          <t>Status</t>
        </is>
      </c>
      <c r="F124" s="8" t="n">
        <v>-450000</v>
      </c>
      <c r="G124" s="8" t="n">
        <v>8900</v>
      </c>
      <c r="H124" s="8" t="n">
        <v>25700</v>
      </c>
      <c r="I124" s="8" t="n">
        <v>15400</v>
      </c>
      <c r="J124" s="8" t="n">
        <v>700</v>
      </c>
      <c r="K124" s="8" t="n">
        <v>-19800</v>
      </c>
      <c r="L124" s="8" t="n">
        <v>-900</v>
      </c>
      <c r="M124" s="8" t="n">
        <v>-19700</v>
      </c>
      <c r="N124" s="8" t="n">
        <v>-10300</v>
      </c>
      <c r="O124" s="9">
        <f>SUM(F124:N124)</f>
        <v/>
      </c>
    </row>
    <row r="125">
      <c r="A125" s="2" t="n">
        <v>6350</v>
      </c>
      <c r="B125" s="2" t="inlineStr">
        <is>
          <t>Skyldig A-skat og AM-bidrag</t>
        </is>
      </c>
      <c r="C125" s="3" t="inlineStr">
        <is>
          <t>Status</t>
        </is>
      </c>
      <c r="F125" s="8" t="n">
        <v>-120000</v>
      </c>
      <c r="G125" s="8" t="n">
        <v>-5700</v>
      </c>
      <c r="H125" s="8" t="n">
        <v>-2900</v>
      </c>
      <c r="I125" s="8" t="n">
        <v>-1400</v>
      </c>
      <c r="J125" s="8" t="n">
        <v>-1900</v>
      </c>
      <c r="K125" s="8" t="n">
        <v>-600</v>
      </c>
      <c r="L125" s="8" t="n">
        <v>2500</v>
      </c>
      <c r="M125" s="8" t="n">
        <v>800</v>
      </c>
      <c r="N125" s="8" t="n">
        <v>-800</v>
      </c>
      <c r="O125" s="9">
        <f>SUM(F125:N125)</f>
        <v/>
      </c>
    </row>
    <row r="126">
      <c r="A126" s="2" t="n">
        <v>6360</v>
      </c>
      <c r="B126" s="2" t="inlineStr">
        <is>
          <t>Skyldige feriepenge</t>
        </is>
      </c>
      <c r="C126" s="3" t="inlineStr">
        <is>
          <t>Status</t>
        </is>
      </c>
      <c r="F126" s="8" t="n">
        <v>-180000</v>
      </c>
      <c r="G126" s="8" t="n">
        <v>-28500</v>
      </c>
      <c r="H126" s="8" t="n">
        <v>-27700</v>
      </c>
      <c r="I126" s="8" t="n">
        <v>-23800</v>
      </c>
      <c r="J126" s="8" t="n">
        <v>-16700</v>
      </c>
      <c r="K126" s="8" t="n">
        <v>-11200</v>
      </c>
      <c r="L126" s="8" t="n">
        <v>-12100</v>
      </c>
      <c r="M126" s="8" t="n">
        <v>-7900</v>
      </c>
      <c r="N126" s="8" t="n">
        <v>-18100</v>
      </c>
      <c r="O126" s="9">
        <f>SUM(F126:N126)</f>
        <v/>
      </c>
    </row>
    <row r="127">
      <c r="A127" s="2" t="n">
        <v>6370</v>
      </c>
      <c r="B127" s="2" t="inlineStr">
        <is>
          <t>Skyldig moms</t>
        </is>
      </c>
      <c r="C127" s="3" t="inlineStr">
        <is>
          <t>Status</t>
        </is>
      </c>
      <c r="F127" s="8" t="n">
        <v>-150000</v>
      </c>
      <c r="G127" s="8" t="n">
        <v>-16600</v>
      </c>
      <c r="H127" s="8" t="n">
        <v>-17800</v>
      </c>
      <c r="I127" s="8" t="n">
        <v>-15600</v>
      </c>
      <c r="J127" s="8" t="n">
        <v>6100</v>
      </c>
      <c r="K127" s="8" t="n">
        <v>3700</v>
      </c>
      <c r="L127" s="8" t="n">
        <v>200</v>
      </c>
      <c r="M127" s="8" t="n">
        <v>-11900</v>
      </c>
      <c r="N127" s="8" t="n">
        <v>-18100</v>
      </c>
      <c r="O127" s="9">
        <f>SUM(F127:N127)</f>
        <v/>
      </c>
    </row>
    <row r="128">
      <c r="A128" s="2" t="n">
        <v>6380</v>
      </c>
      <c r="B128" s="2" t="inlineStr">
        <is>
          <t>Skyldig selskabsskat</t>
        </is>
      </c>
      <c r="C128" s="3" t="inlineStr">
        <is>
          <t>Status</t>
        </is>
      </c>
      <c r="F128" s="8" t="n">
        <v>-50000</v>
      </c>
      <c r="G128" s="8" t="n">
        <v>0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0</v>
      </c>
      <c r="M128" s="8" t="n">
        <v>0</v>
      </c>
      <c r="N128" s="8" t="n">
        <v>0</v>
      </c>
      <c r="O128" s="9">
        <f>SUM(F128:N128)</f>
        <v/>
      </c>
    </row>
    <row r="129">
      <c r="A129" s="2" t="n">
        <v>6390</v>
      </c>
      <c r="B129" s="2" t="inlineStr">
        <is>
          <t>Anden gæld</t>
        </is>
      </c>
      <c r="C129" s="3" t="inlineStr">
        <is>
          <t>Status</t>
        </is>
      </c>
      <c r="F129" s="8" t="n">
        <v>-50000</v>
      </c>
      <c r="G129" s="8" t="n">
        <v>-7400</v>
      </c>
      <c r="H129" s="8" t="n">
        <v>-6600</v>
      </c>
      <c r="I129" s="8" t="n">
        <v>-6000</v>
      </c>
      <c r="J129" s="8" t="n">
        <v>-2600</v>
      </c>
      <c r="K129" s="8" t="n">
        <v>-3400</v>
      </c>
      <c r="L129" s="8" t="n">
        <v>-4000</v>
      </c>
      <c r="M129" s="8" t="n">
        <v>-5700</v>
      </c>
      <c r="N129" s="8" t="n">
        <v>-4300</v>
      </c>
      <c r="O129" s="9">
        <f>SUM(F129:N129)</f>
        <v/>
      </c>
    </row>
    <row r="130">
      <c r="A130" s="10" t="n">
        <v>6399</v>
      </c>
      <c r="B130" s="10" t="inlineStr">
        <is>
          <t>Kortfristet gæld i alt</t>
        </is>
      </c>
      <c r="C130" s="11" t="inlineStr">
        <is>
          <t>Sum</t>
        </is>
      </c>
      <c r="D130" s="11" t="n">
        <v>6300</v>
      </c>
      <c r="E130" s="11" t="n">
        <v>6398</v>
      </c>
      <c r="F130" s="12">
        <f>SUMIFS(F$7:F129,$A$7:$A129,"&gt;="&amp;$D130,$A$7:$A129,"&lt;="&amp;$E130,$C$7:$C129,"&lt;&gt;Sum")</f>
        <v/>
      </c>
      <c r="G130" s="12">
        <f>SUMIFS(G$7:G129,$A$7:$A129,"&gt;="&amp;$D130,$A$7:$A129,"&lt;="&amp;$E130,$C$7:$C129,"&lt;&gt;Sum")</f>
        <v/>
      </c>
      <c r="H130" s="12">
        <f>SUMIFS(H$7:H129,$A$7:$A129,"&gt;="&amp;$D130,$A$7:$A129,"&lt;="&amp;$E130,$C$7:$C129,"&lt;&gt;Sum")</f>
        <v/>
      </c>
      <c r="I130" s="12">
        <f>SUMIFS(I$7:I129,$A$7:$A129,"&gt;="&amp;$D130,$A$7:$A129,"&lt;="&amp;$E130,$C$7:$C129,"&lt;&gt;Sum")</f>
        <v/>
      </c>
      <c r="J130" s="12">
        <f>SUMIFS(J$7:J129,$A$7:$A129,"&gt;="&amp;$D130,$A$7:$A129,"&lt;="&amp;$E130,$C$7:$C129,"&lt;&gt;Sum")</f>
        <v/>
      </c>
      <c r="K130" s="12">
        <f>SUMIFS(K$7:K129,$A$7:$A129,"&gt;="&amp;$D130,$A$7:$A129,"&lt;="&amp;$E130,$C$7:$C129,"&lt;&gt;Sum")</f>
        <v/>
      </c>
      <c r="L130" s="12">
        <f>SUMIFS(L$7:L129,$A$7:$A129,"&gt;="&amp;$D130,$A$7:$A129,"&lt;="&amp;$E130,$C$7:$C129,"&lt;&gt;Sum")</f>
        <v/>
      </c>
      <c r="M130" s="12">
        <f>SUMIFS(M$7:M129,$A$7:$A129,"&gt;="&amp;$D130,$A$7:$A129,"&lt;="&amp;$E130,$C$7:$C129,"&lt;&gt;Sum")</f>
        <v/>
      </c>
      <c r="N130" s="12">
        <f>SUMIFS(N$7:N129,$A$7:$A129,"&gt;="&amp;$D130,$A$7:$A129,"&lt;="&amp;$E130,$C$7:$C129,"&lt;&gt;Sum")</f>
        <v/>
      </c>
      <c r="O130" s="12">
        <f>SUM(F130:N130)</f>
        <v/>
      </c>
    </row>
    <row r="131">
      <c r="A131" s="10" t="n">
        <v>6500</v>
      </c>
      <c r="B131" s="10" t="inlineStr">
        <is>
          <t>PASSIVER I ALT</t>
        </is>
      </c>
      <c r="C131" s="11" t="inlineStr">
        <is>
          <t>Sum</t>
        </is>
      </c>
      <c r="D131" s="11" t="n">
        <v>6000</v>
      </c>
      <c r="E131" s="11" t="n">
        <v>6499</v>
      </c>
      <c r="F131" s="12">
        <f>SUMIFS(F$7:F130,$A$7:$A130,"&gt;="&amp;$D131,$A$7:$A130,"&lt;="&amp;$E131,$C$7:$C130,"&lt;&gt;Sum")</f>
        <v/>
      </c>
      <c r="G131" s="12">
        <f>SUMIFS(G$7:G130,$A$7:$A130,"&gt;="&amp;$D131,$A$7:$A130,"&lt;="&amp;$E131,$C$7:$C130,"&lt;&gt;Sum")</f>
        <v/>
      </c>
      <c r="H131" s="12">
        <f>SUMIFS(H$7:H130,$A$7:$A130,"&gt;="&amp;$D131,$A$7:$A130,"&lt;="&amp;$E131,$C$7:$C130,"&lt;&gt;Sum")</f>
        <v/>
      </c>
      <c r="I131" s="12">
        <f>SUMIFS(I$7:I130,$A$7:$A130,"&gt;="&amp;$D131,$A$7:$A130,"&lt;="&amp;$E131,$C$7:$C130,"&lt;&gt;Sum")</f>
        <v/>
      </c>
      <c r="J131" s="12">
        <f>SUMIFS(J$7:J130,$A$7:$A130,"&gt;="&amp;$D131,$A$7:$A130,"&lt;="&amp;$E131,$C$7:$C130,"&lt;&gt;Sum")</f>
        <v/>
      </c>
      <c r="K131" s="12">
        <f>SUMIFS(K$7:K130,$A$7:$A130,"&gt;="&amp;$D131,$A$7:$A130,"&lt;="&amp;$E131,$C$7:$C130,"&lt;&gt;Sum")</f>
        <v/>
      </c>
      <c r="L131" s="12">
        <f>SUMIFS(L$7:L130,$A$7:$A130,"&gt;="&amp;$D131,$A$7:$A130,"&lt;="&amp;$E131,$C$7:$C130,"&lt;&gt;Sum")</f>
        <v/>
      </c>
      <c r="M131" s="12">
        <f>SUMIFS(M$7:M130,$A$7:$A130,"&gt;="&amp;$D131,$A$7:$A130,"&lt;="&amp;$E131,$C$7:$C130,"&lt;&gt;Sum")</f>
        <v/>
      </c>
      <c r="N131" s="12">
        <f>SUMIFS(N$7:N130,$A$7:$A130,"&gt;="&amp;$D131,$A$7:$A130,"&lt;="&amp;$E131,$C$7:$C130,"&lt;&gt;Sum")</f>
        <v/>
      </c>
      <c r="O131" s="12">
        <f>SUM(F131:N131)</f>
        <v/>
      </c>
    </row>
    <row r="133">
      <c r="B133" s="6" t="inlineStr">
        <is>
          <t>Kontrol: debet minus kredit (skal være 0)</t>
        </is>
      </c>
      <c r="F133" s="13">
        <f>SUMIFS(F$7:F$131,$C$7:$C$131,"Drift")+SUMIFS(F$7:F$131,$C$7:$C$131,"Status")</f>
        <v/>
      </c>
      <c r="G133" s="13">
        <f>SUMIFS(G$7:G$131,$C$7:$C$131,"Drift")+SUMIFS(G$7:G$131,$C$7:$C$131,"Status")</f>
        <v/>
      </c>
      <c r="H133" s="13">
        <f>SUMIFS(H$7:H$131,$C$7:$C$131,"Drift")+SUMIFS(H$7:H$131,$C$7:$C$131,"Status")</f>
        <v/>
      </c>
      <c r="I133" s="13">
        <f>SUMIFS(I$7:I$131,$C$7:$C$131,"Drift")+SUMIFS(I$7:I$131,$C$7:$C$131,"Status")</f>
        <v/>
      </c>
      <c r="J133" s="13">
        <f>SUMIFS(J$7:J$131,$C$7:$C$131,"Drift")+SUMIFS(J$7:J$131,$C$7:$C$131,"Status")</f>
        <v/>
      </c>
      <c r="K133" s="13">
        <f>SUMIFS(K$7:K$131,$C$7:$C$131,"Drift")+SUMIFS(K$7:K$131,$C$7:$C$131,"Status")</f>
        <v/>
      </c>
      <c r="L133" s="13">
        <f>SUMIFS(L$7:L$131,$C$7:$C$131,"Drift")+SUMIFS(L$7:L$131,$C$7:$C$131,"Status")</f>
        <v/>
      </c>
      <c r="M133" s="13">
        <f>SUMIFS(M$7:M$131,$C$7:$C$131,"Drift")+SUMIFS(M$7:M$131,$C$7:$C$131,"Status")</f>
        <v/>
      </c>
      <c r="N133" s="13">
        <f>SUMIFS(N$7:N$131,$C$7:$C$131,"Drift")+SUMIFS(N$7:N$131,$C$7:$C$131,"Status")</f>
        <v/>
      </c>
      <c r="O133" s="13">
        <f>SUMIFS(O$7:O$131,$C$7:$C$131,"Drift")+SUMIFS(O$7:O$131,$C$7:$C$131,"Status")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4" t="inlineStr">
        <is>
          <t>Saldobalance pr. måned fra e-conomic</t>
        </is>
      </c>
    </row>
    <row r="2">
      <c r="A2" s="2" t="inlineStr"/>
    </row>
    <row r="3">
      <c r="A3" s="2" t="inlineStr">
        <is>
          <t>Arket er kilden til de realiserede perioder (Q1, Q2 og jul-aug 2026) i Regnskab under Virksomheden.</t>
        </is>
      </c>
    </row>
    <row r="4">
      <c r="A4" s="2" t="inlineStr">
        <is>
          <t>Prototypen henter filen, mapper hver konto til en Crediwire-kategori og lægger beløbene sammen pr. kategori.</t>
        </is>
      </c>
    </row>
    <row r="5">
      <c r="A5" s="2" t="inlineStr"/>
    </row>
    <row r="6">
      <c r="A6" s="6" t="inlineStr">
        <is>
          <t>Kolonner</t>
        </is>
      </c>
    </row>
    <row r="7">
      <c r="A7" s="2" t="inlineStr">
        <is>
          <t>Kontonr og Kontonavn: kontoplanen, som den står i e-conomic.</t>
        </is>
      </c>
    </row>
    <row r="8">
      <c r="A8" s="2" t="inlineStr">
        <is>
          <t>Kontotype: Overskrift, Drift (resultatopgørelse), Status (balance) eller Sum.</t>
        </is>
      </c>
    </row>
    <row r="9">
      <c r="A9" s="2" t="inlineStr">
        <is>
          <t>Sum fra / Sum til: kontointervallet, en sumkonto lægger sammen.</t>
        </is>
      </c>
    </row>
    <row r="10">
      <c r="A10" s="2" t="inlineStr">
        <is>
          <t>Primo 01-01-2026: statuskontiens saldo ved årets start (driftskonti er tomme).</t>
        </is>
      </c>
    </row>
    <row r="11">
      <c r="A11" s="2" t="inlineStr">
        <is>
          <t>Jan-Aug 2026: månedens bevægelse på kontoen.</t>
        </is>
      </c>
    </row>
    <row r="12">
      <c r="A12" s="2" t="inlineStr">
        <is>
          <t>Saldo 31-08-2026: primo plus bevægelserne (driftskonti: år til dato).</t>
        </is>
      </c>
    </row>
    <row r="13">
      <c r="A13" s="2" t="inlineStr"/>
    </row>
    <row r="14">
      <c r="A14" s="6" t="inlineStr">
        <is>
          <t>Fortegn</t>
        </is>
      </c>
    </row>
    <row r="15">
      <c r="A15" s="2" t="inlineStr">
        <is>
          <t>Som i e-conomic: debet er plus, kredit er minus. Omsætning, gæld og egenkapital er derfor negative.</t>
        </is>
      </c>
    </row>
    <row r="16">
      <c r="A16" s="2" t="inlineStr"/>
    </row>
    <row r="17">
      <c r="A17" s="6" t="inlineStr">
        <is>
          <t>Sådan retter du</t>
        </is>
      </c>
    </row>
    <row r="18">
      <c r="A18" s="2" t="inlineStr">
        <is>
          <t>Ret kun de blå tal. Sumkonti, saldo og kontrolrækken nederst er formler.</t>
        </is>
      </c>
    </row>
    <row r="19">
      <c r="A19" s="2" t="inlineStr">
        <is>
          <t>Kontrolrækken skal give 0 i alle kolonner. Gør den ikke det, går debet og kredit ikke op.</t>
        </is>
      </c>
    </row>
    <row r="20">
      <c r="A20" s="2" t="inlineStr">
        <is>
          <t>Gem filen samme sted og genindlæs prototypen. Nye konti kommer med som "Ikke mappet", til de mappes.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2026-10-05T10:11:29Z</dcterms:created>
  <dcterms:modified xmlns:dcterms="http://purl.org/dc/terms/" xmlns:xsi="http://www.w3.org/2001/XMLSchema-instance" xsi:type="dcterms:W3CDTF">2026-10-05T10:11:29Z</dcterms:modified>
</cp:coreProperties>
</file>